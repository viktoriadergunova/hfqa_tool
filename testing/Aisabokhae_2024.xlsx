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rgun\Documents\hfqa_tool\testing\"/>
    </mc:Choice>
  </mc:AlternateContent>
  <xr:revisionPtr revIDLastSave="0" documentId="13_ncr:1_{AFC94A07-208C-4C75-8319-1E5E301156BB}" xr6:coauthVersionLast="47" xr6:coauthVersionMax="47" xr10:uidLastSave="{00000000-0000-0000-0000-000000000000}"/>
  <bookViews>
    <workbookView xWindow="39180" yWindow="780" windowWidth="28800" windowHeight="15345" activeTab="1" xr2:uid="{00000000-000D-0000-FFFF-FFFF00000000}"/>
  </bookViews>
  <sheets>
    <sheet name="readme" sheetId="3" r:id="rId1"/>
    <sheet name="data list" sheetId="1" r:id="rId2"/>
    <sheet name="controlled vocabulary" sheetId="2" r:id="rId3"/>
  </sheets>
  <definedNames>
    <definedName name="_xlnm._FilterDatabase" localSheetId="1" hidden="1">'data list'!$A$1:$BS$20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8" i="3" l="1"/>
  <c r="J9" i="3"/>
  <c r="J10" i="3"/>
  <c r="J11" i="3"/>
  <c r="J12" i="3"/>
  <c r="J13" i="3"/>
  <c r="J14" i="3"/>
  <c r="J15" i="3"/>
  <c r="J16" i="3"/>
  <c r="J17" i="3"/>
  <c r="J18" i="3"/>
  <c r="J7" i="3"/>
  <c r="F8" i="3"/>
  <c r="F9" i="3"/>
  <c r="F10" i="3"/>
  <c r="F11" i="3"/>
  <c r="F12" i="3"/>
  <c r="F13" i="3"/>
  <c r="F14" i="3"/>
  <c r="F15" i="3"/>
  <c r="F16" i="3"/>
  <c r="F17" i="3"/>
  <c r="F18" i="3"/>
  <c r="F7" i="3"/>
  <c r="AT227" i="2" l="1"/>
  <c r="AT226" i="2"/>
</calcChain>
</file>

<file path=xl/sharedStrings.xml><?xml version="1.0" encoding="utf-8"?>
<sst xmlns="http://schemas.openxmlformats.org/spreadsheetml/2006/main" count="1875" uniqueCount="908">
  <si>
    <t>M</t>
  </si>
  <si>
    <t>R</t>
  </si>
  <si>
    <t>O</t>
  </si>
  <si>
    <t>S</t>
  </si>
  <si>
    <t>q</t>
  </si>
  <si>
    <t>name</t>
  </si>
  <si>
    <t>elevation</t>
  </si>
  <si>
    <t>corr_HP_flag</t>
  </si>
  <si>
    <t>qc</t>
  </si>
  <si>
    <t>q_method</t>
  </si>
  <si>
    <t>q_top</t>
  </si>
  <si>
    <t>corr_IS_flag</t>
  </si>
  <si>
    <t>corr_T_flag</t>
  </si>
  <si>
    <t>corr_S_flag</t>
  </si>
  <si>
    <t>corr_E_flag</t>
  </si>
  <si>
    <t>corr_TOPO_flag</t>
  </si>
  <si>
    <t>corr_PAL_flag</t>
  </si>
  <si>
    <t>corr_CONV_flag</t>
  </si>
  <si>
    <t>corr_HR_flag</t>
  </si>
  <si>
    <t>T_number</t>
  </si>
  <si>
    <t>tc_mean</t>
  </si>
  <si>
    <t>tc_source</t>
  </si>
  <si>
    <t>tc_method</t>
  </si>
  <si>
    <t>tc_strategy</t>
  </si>
  <si>
    <t>Ref_ISGN</t>
  </si>
  <si>
    <t>mW/m²</t>
  </si>
  <si>
    <t>-</t>
  </si>
  <si>
    <t>m</t>
  </si>
  <si>
    <t>YYYY-MM</t>
  </si>
  <si>
    <t>°C</t>
  </si>
  <si>
    <t>K/km</t>
  </si>
  <si>
    <t>W/(mK)</t>
  </si>
  <si>
    <t>Site name</t>
  </si>
  <si>
    <t>Geographical latitude</t>
  </si>
  <si>
    <t>Geographical longitude</t>
  </si>
  <si>
    <t>Primary reference</t>
  </si>
  <si>
    <t>Date of acquisition</t>
  </si>
  <si>
    <t>Basic geographical environment</t>
  </si>
  <si>
    <t>Heat-flow method</t>
  </si>
  <si>
    <t>Heat-flow interval top</t>
  </si>
  <si>
    <t>Penetration depth</t>
  </si>
  <si>
    <t>Probe type</t>
  </si>
  <si>
    <t>Probe length</t>
  </si>
  <si>
    <t>Relevant child</t>
  </si>
  <si>
    <t>Lithology</t>
  </si>
  <si>
    <t>Stratigraphic age</t>
  </si>
  <si>
    <t>Temperature gradient uncertainty</t>
  </si>
  <si>
    <t>Probe tilt</t>
  </si>
  <si>
    <t>Mean thermal conductivity</t>
  </si>
  <si>
    <t>TC number</t>
  </si>
  <si>
    <t>IGSN</t>
  </si>
  <si>
    <t>B</t>
  </si>
  <si>
    <t>T_method_top</t>
  </si>
  <si>
    <t>T_shutin_top</t>
  </si>
  <si>
    <t>T_corr_top</t>
  </si>
  <si>
    <t>hr</t>
  </si>
  <si>
    <t>Shut-in time (top)</t>
  </si>
  <si>
    <t>Shut-in time (bottom)</t>
  </si>
  <si>
    <t>T correction method (top)</t>
  </si>
  <si>
    <t>T correction method (bottom)</t>
  </si>
  <si>
    <t>Heat-flow interval bottom</t>
  </si>
  <si>
    <t>Type of exploration method</t>
  </si>
  <si>
    <t>Original exploration purpose</t>
  </si>
  <si>
    <t>Platform, Vessel, Expedition</t>
  </si>
  <si>
    <t>Yes</t>
  </si>
  <si>
    <t>q_uncertainty</t>
  </si>
  <si>
    <t>ID</t>
  </si>
  <si>
    <t>Obligation</t>
  </si>
  <si>
    <t>Domain</t>
  </si>
  <si>
    <t>Short Name</t>
  </si>
  <si>
    <t>Unit</t>
  </si>
  <si>
    <t>B,S</t>
  </si>
  <si>
    <t>environment</t>
  </si>
  <si>
    <t>p_comment</t>
  </si>
  <si>
    <t>c_comment</t>
  </si>
  <si>
    <t>General comments parent level</t>
  </si>
  <si>
    <t>General comments child level</t>
  </si>
  <si>
    <t>Name</t>
  </si>
  <si>
    <t>Allowed range of values</t>
  </si>
  <si>
    <t>-999,999.9 – 999,999.9</t>
  </si>
  <si>
    <t xml:space="preserve"> -999,999.9 – 999,999.9</t>
  </si>
  <si>
    <t>0 – 999,999.9</t>
  </si>
  <si>
    <t>-90.00000 –  +90.00000</t>
  </si>
  <si>
    <t>-180.00000 –  +180.00000</t>
  </si>
  <si>
    <t>-12000 – +9000</t>
  </si>
  <si>
    <t>Quality Relevance</t>
  </si>
  <si>
    <t>U score</t>
  </si>
  <si>
    <t>M score</t>
  </si>
  <si>
    <t>explo_method</t>
  </si>
  <si>
    <t>explo_purpose</t>
  </si>
  <si>
    <t>q_bottom</t>
  </si>
  <si>
    <t>qc_uncertainty</t>
  </si>
  <si>
    <t>probe_penetration</t>
  </si>
  <si>
    <t>0 - 999.9</t>
  </si>
  <si>
    <t>Primary publication reference</t>
  </si>
  <si>
    <t>publication_reference</t>
  </si>
  <si>
    <t>data_reference</t>
  </si>
  <si>
    <t>relevant_child</t>
  </si>
  <si>
    <t>Flag in-situ thermal properties</t>
  </si>
  <si>
    <t>Flag temperature corrections (instrumental correction)</t>
  </si>
  <si>
    <t>Flag erosion effect (heat-flow correction) </t>
  </si>
  <si>
    <t>Flag topographic effect (heat-flow correction) </t>
  </si>
  <si>
    <t>Flag convection processes (heat-flow correction) </t>
  </si>
  <si>
    <t>Flag sedimentation effect (temperature/heat flow correction) </t>
  </si>
  <si>
    <t>Flag heat refraction effect (heat-flow correction) </t>
  </si>
  <si>
    <t>P Score</t>
  </si>
  <si>
    <t>Flag heat production of the overburden (heat-flow correction) </t>
  </si>
  <si>
    <t>expedition</t>
  </si>
  <si>
    <t>probe_type</t>
  </si>
  <si>
    <t>probe_length</t>
  </si>
  <si>
    <t>Single Steel probe (Bullard)</t>
  </si>
  <si>
    <t>0 – 99.99</t>
  </si>
  <si>
    <t>0 – 99.9</t>
  </si>
  <si>
    <t>probe_tilt</t>
  </si>
  <si>
    <t>geo_lithology</t>
  </si>
  <si>
    <t>geo_stratigraphy</t>
  </si>
  <si>
    <t>T_method_bottom</t>
  </si>
  <si>
    <t>Temperature method (top)</t>
  </si>
  <si>
    <t>Temperature method (bottom)</t>
  </si>
  <si>
    <t>Calculated or inferred temperature gradient</t>
  </si>
  <si>
    <t>T_grad_mean</t>
  </si>
  <si>
    <t>T_grad_uncertainty</t>
  </si>
  <si>
    <t>Multiple choices</t>
  </si>
  <si>
    <t>– 99,999.99 – 99,999.99</t>
  </si>
  <si>
    <t>T_shutin_bottom</t>
  </si>
  <si>
    <t>0 – 99,999</t>
  </si>
  <si>
    <t>0 – 999,999</t>
  </si>
  <si>
    <t>T_corr_bottom</t>
  </si>
  <si>
    <t>q_date</t>
  </si>
  <si>
    <t>tc_uncertainty</t>
  </si>
  <si>
    <t>Thermal conductivity uncertainty</t>
  </si>
  <si>
    <t>Thermal conductivity source</t>
  </si>
  <si>
    <t>Thermal conductivity method</t>
  </si>
  <si>
    <t>Thermal conductivity saturation</t>
  </si>
  <si>
    <t>Thermal conductivity pT conditions</t>
  </si>
  <si>
    <t>Thermal conductivity pT assumed function</t>
  </si>
  <si>
    <t>tc_saturation</t>
  </si>
  <si>
    <t>tc_pT_conditions</t>
  </si>
  <si>
    <t>0 – 9,999</t>
  </si>
  <si>
    <t>tc_number</t>
  </si>
  <si>
    <t>[First author_Year_Title_Journal/ Publisher_doi]</t>
  </si>
  <si>
    <t>P1</t>
  </si>
  <si>
    <t>P2</t>
  </si>
  <si>
    <t>P9</t>
  </si>
  <si>
    <t>P10</t>
  </si>
  <si>
    <t>P11</t>
  </si>
  <si>
    <t>P12</t>
  </si>
  <si>
    <t>P13</t>
  </si>
  <si>
    <t>C1</t>
  </si>
  <si>
    <t>C2</t>
  </si>
  <si>
    <t>C3</t>
  </si>
  <si>
    <t>C4</t>
  </si>
  <si>
    <t>C5</t>
  </si>
  <si>
    <t>C6</t>
  </si>
  <si>
    <t>C14</t>
  </si>
  <si>
    <t>C18</t>
  </si>
  <si>
    <t>C21</t>
  </si>
  <si>
    <t>C22</t>
  </si>
  <si>
    <t>C24</t>
  </si>
  <si>
    <t>C25</t>
  </si>
  <si>
    <t>C26</t>
  </si>
  <si>
    <t>C27</t>
  </si>
  <si>
    <t>C29</t>
  </si>
  <si>
    <t>C28</t>
  </si>
  <si>
    <t>C30</t>
  </si>
  <si>
    <t>C15</t>
  </si>
  <si>
    <t>C7</t>
  </si>
  <si>
    <t>C8</t>
  </si>
  <si>
    <t>C46</t>
  </si>
  <si>
    <t>C31</t>
  </si>
  <si>
    <t>C32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</si>
  <si>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</si>
  <si>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</si>
  <si>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</si>
  <si>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</si>
  <si>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</si>
  <si>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</si>
  <si>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</si>
  <si>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</si>
  <si>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</si>
  <si>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</si>
  <si>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C16</t>
  </si>
  <si>
    <t>C9</t>
  </si>
  <si>
    <t>C10</t>
  </si>
  <si>
    <t>C11</t>
  </si>
  <si>
    <t>C12</t>
  </si>
  <si>
    <t>C13</t>
  </si>
  <si>
    <t>C17</t>
  </si>
  <si>
    <t>C19</t>
  </si>
  <si>
    <t>C20</t>
  </si>
  <si>
    <t>C23</t>
  </si>
  <si>
    <t>C33</t>
  </si>
  <si>
    <t>C34</t>
  </si>
  <si>
    <t>C45</t>
  </si>
  <si>
    <t>Reviewer_name</t>
  </si>
  <si>
    <t>Reviewer_comment</t>
  </si>
  <si>
    <t>Review Date</t>
  </si>
  <si>
    <t>Country</t>
  </si>
  <si>
    <t>Region</t>
  </si>
  <si>
    <t>Continent</t>
  </si>
  <si>
    <t>Unique entry ID</t>
  </si>
  <si>
    <t>Review_date</t>
  </si>
  <si>
    <t>A1</t>
  </si>
  <si>
    <t>A2</t>
  </si>
  <si>
    <t>A3</t>
  </si>
  <si>
    <t>A4</t>
  </si>
  <si>
    <t>A5</t>
  </si>
  <si>
    <t>A6</t>
  </si>
  <si>
    <t>A7</t>
  </si>
  <si>
    <t>A8</t>
  </si>
  <si>
    <t>[Yes]</t>
  </si>
  <si>
    <t>[No]</t>
  </si>
  <si>
    <t>[Onshore (continental)]</t>
  </si>
  <si>
    <t>[Offshore (continental)]</t>
  </si>
  <si>
    <t>[Offshore (marine)]</t>
  </si>
  <si>
    <t>[unspecified]</t>
  </si>
  <si>
    <t>[Drilling]</t>
  </si>
  <si>
    <t>[Mining]</t>
  </si>
  <si>
    <t>[Tunneling]</t>
  </si>
  <si>
    <t>[Other (specify in comments)]</t>
  </si>
  <si>
    <t>[Hydrocarbon]</t>
  </si>
  <si>
    <t>[Underground storage]</t>
  </si>
  <si>
    <t>[Geothermal]</t>
  </si>
  <si>
    <t>[Mapping]</t>
  </si>
  <si>
    <t>[Interval method]</t>
  </si>
  <si>
    <t>[Bullard method]</t>
  </si>
  <si>
    <t>[Boot-strapping method]</t>
  </si>
  <si>
    <t>[Present and not corrected]</t>
  </si>
  <si>
    <t>[Present not significant]</t>
  </si>
  <si>
    <t>[Present and corrected]</t>
  </si>
  <si>
    <t>[not recognized]</t>
  </si>
  <si>
    <t>[R/V Ship]</t>
  </si>
  <si>
    <t>[D/V Platform]</t>
  </si>
  <si>
    <t>[Single Steel probe (Bullard)]</t>
  </si>
  <si>
    <t>[Violin-Bow probe (Lister)]</t>
  </si>
  <si>
    <t>[Submersible probe]</t>
  </si>
  <si>
    <t>[BHT]</t>
  </si>
  <si>
    <t>[CPD]</t>
  </si>
  <si>
    <t>[XEN]</t>
  </si>
  <si>
    <t>[GTM]</t>
  </si>
  <si>
    <t>[BSR]</t>
  </si>
  <si>
    <t>[SUR]</t>
  </si>
  <si>
    <t>[Horner plot]</t>
  </si>
  <si>
    <t>[Cylinder source method]</t>
  </si>
  <si>
    <t>[Line source explosion method]</t>
  </si>
  <si>
    <t>[Inverse numerical modelling]</t>
  </si>
  <si>
    <t>[not corrected]</t>
  </si>
  <si>
    <t>[Probe - pulse technique]</t>
  </si>
  <si>
    <t>[Unrecorded ambient pT conditions]</t>
  </si>
  <si>
    <t>[Recorded ambient pT conditions]</t>
  </si>
  <si>
    <t>[Actual in-situ (pT) conditions]</t>
  </si>
  <si>
    <t>[Replicated in-situ (p)]</t>
  </si>
  <si>
    <t>[Replicated in-situ (T)]</t>
  </si>
  <si>
    <t>[Replicated in-situ (pT)]</t>
  </si>
  <si>
    <t>[T - Tikhomirov (1968)]</t>
  </si>
  <si>
    <t>[T - Kutas &amp; Gordienko (1971)]</t>
  </si>
  <si>
    <t>[T - Anand et al. (1973)]</t>
  </si>
  <si>
    <t>[T - Haenel &amp; Zoth (1973)]</t>
  </si>
  <si>
    <t>[T - Blesch et al. (1983)]</t>
  </si>
  <si>
    <t>[T - Sekiguchi (1984)]</t>
  </si>
  <si>
    <t>[T - Chapman et al. (1984)]</t>
  </si>
  <si>
    <t>[T - Zoth &amp; Haenel (1988)]</t>
  </si>
  <si>
    <t>[T - Somerton (1992)]</t>
  </si>
  <si>
    <t>[T - Sass et al. (1992)]</t>
  </si>
  <si>
    <t>[T - Funnell et al. (1996)]</t>
  </si>
  <si>
    <t>[T - Kukkonen et al. (1999)]</t>
  </si>
  <si>
    <t>[T - Seipold (2001)]</t>
  </si>
  <si>
    <t>[T - Vosteen &amp; Schellschmidt (2003)]</t>
  </si>
  <si>
    <t>[T - Sun et al. (2017)]</t>
  </si>
  <si>
    <t>[T - Miranda et al. (2018)]</t>
  </si>
  <si>
    <t>[p - Bridgman (1924)]</t>
  </si>
  <si>
    <t>[p - Sibbitt (1975)]</t>
  </si>
  <si>
    <t>[p - Kukkonen et al. (1999)]</t>
  </si>
  <si>
    <t>[p - Seipold (2001)]</t>
  </si>
  <si>
    <t>[p - Durutürk et al. (2002)]</t>
  </si>
  <si>
    <t>[p - Demirci et al. (2004)]</t>
  </si>
  <si>
    <t>[p - Görgülü et al. (2008)]</t>
  </si>
  <si>
    <t>[p - Fuchs &amp; Förster (2014)]</t>
  </si>
  <si>
    <t>[pT - Buntebarth (1991)]</t>
  </si>
  <si>
    <t>[pT - Chapman &amp; Furlong (1992)]</t>
  </si>
  <si>
    <t>[pT - Emirov et al. (1997)]</t>
  </si>
  <si>
    <t>[pT - Abdulagatov et al. (2006)]</t>
  </si>
  <si>
    <t>[pT - Emirov &amp; Ramazanova (2007)]</t>
  </si>
  <si>
    <t>[pT - Abdulagatova et al. (2009)]</t>
  </si>
  <si>
    <t>[pT - Ramazanova &amp; Emirov (2010)]</t>
  </si>
  <si>
    <t>[pT - Ramazanova &amp; Emirov (2012)]</t>
  </si>
  <si>
    <t>[pT - Emirov et al. (2017)]</t>
  </si>
  <si>
    <t>[Characterize formation conductivities]</t>
  </si>
  <si>
    <t>[Well log interpretation]</t>
  </si>
  <si>
    <t>[Computation from probe sensing]</t>
  </si>
  <si>
    <t>[LOGeq]</t>
  </si>
  <si>
    <t>[LOGpert]</t>
  </si>
  <si>
    <t>[cBHT]</t>
  </si>
  <si>
    <t>[cLOG]</t>
  </si>
  <si>
    <t>P3</t>
  </si>
  <si>
    <t>P4</t>
  </si>
  <si>
    <t>P5</t>
  </si>
  <si>
    <t>P6</t>
  </si>
  <si>
    <t>P7</t>
  </si>
  <si>
    <t>P8</t>
  </si>
  <si>
    <t>degrees</t>
  </si>
  <si>
    <t>long_EW</t>
  </si>
  <si>
    <t>lat_NS</t>
  </si>
  <si>
    <t>Elevation (Geographical)</t>
  </si>
  <si>
    <t>Total Measured Depth</t>
  </si>
  <si>
    <t>Total True Vertical Depth</t>
  </si>
  <si>
    <t>total_depth_TVD</t>
  </si>
  <si>
    <t>total_depth_MD</t>
  </si>
  <si>
    <t>[Groundwater]</t>
  </si>
  <si>
    <t>[Research]</t>
  </si>
  <si>
    <t>[Numerical inversion]</t>
  </si>
  <si>
    <t>Heat-flow value child</t>
  </si>
  <si>
    <t>Heat-flow uncertainty child</t>
  </si>
  <si>
    <t>Heat-flow value</t>
  </si>
  <si>
    <t>Heat-flow uncertainty</t>
  </si>
  <si>
    <t>0 - 19,999.9</t>
  </si>
  <si>
    <t>[not considered]</t>
  </si>
  <si>
    <t>[Tilt corrected]</t>
  </si>
  <si>
    <t>[Drift corrected]</t>
  </si>
  <si>
    <t>Flag paleoclimatic effect (heat-flow correction) </t>
  </si>
  <si>
    <t>Flag transient surface temperature (heat-flow correction) </t>
  </si>
  <si>
    <t>corr_SUR_flag</t>
  </si>
  <si>
    <t>[Outrigger probe (Ewing) with corer]</t>
  </si>
  <si>
    <t>[Outrigger probe (autonomous) without corer]</t>
  </si>
  <si>
    <t>[Outrigger probe (autonomous) with corer]</t>
  </si>
  <si>
    <t>degree</t>
  </si>
  <si>
    <t>C47</t>
  </si>
  <si>
    <t>C48</t>
  </si>
  <si>
    <t>[DTSeq]</t>
  </si>
  <si>
    <t>[DTSpert]</t>
  </si>
  <si>
    <t>[cDTS]</t>
  </si>
  <si>
    <t>[RTDeq]</t>
  </si>
  <si>
    <t>[RTDpert]</t>
  </si>
  <si>
    <t>[cRTD]</t>
  </si>
  <si>
    <t>[ODTT-PC]</t>
  </si>
  <si>
    <t>[ODTT-TP]</t>
  </si>
  <si>
    <t>years: 1900 – recent, months: 01– 12; [unspecified]</t>
  </si>
  <si>
    <t>[In-situ probe]</t>
  </si>
  <si>
    <t>[Core-log integration]</t>
  </si>
  <si>
    <t>[Core samples]</t>
  </si>
  <si>
    <t>[Cutting samples]</t>
  </si>
  <si>
    <t>[Outcrop samples]</t>
  </si>
  <si>
    <t>[Well-log interpretation]</t>
  </si>
  <si>
    <t>[Mineral computation]</t>
  </si>
  <si>
    <t>[Assumed from literature]</t>
  </si>
  <si>
    <t>Thermal conductivity location</t>
  </si>
  <si>
    <t>tc_location</t>
  </si>
  <si>
    <t>[Actual heat-flow location]</t>
  </si>
  <si>
    <t>[Other location]</t>
  </si>
  <si>
    <t>[Lab - point source]</t>
  </si>
  <si>
    <t>[Well-log - deterministic approach]</t>
  </si>
  <si>
    <t>[Well-log - empirical equation]</t>
  </si>
  <si>
    <t>[Estimation - from chlorine content]</t>
  </si>
  <si>
    <t>[Estimation - from lithology and literature]</t>
  </si>
  <si>
    <t>[Estimation - from mineral composition]</t>
  </si>
  <si>
    <t>[Saturated measured in-situ]</t>
  </si>
  <si>
    <t>[Recovered]</t>
  </si>
  <si>
    <t>[Saturated measured]</t>
  </si>
  <si>
    <t>[Saturated calculated]</t>
  </si>
  <si>
    <t>[Dry measured]</t>
  </si>
  <si>
    <t>[Corrected in-situ (p)]</t>
  </si>
  <si>
    <t>[Corrected in-situ (T)]</t>
  </si>
  <si>
    <t>[Corrected in-situ (pT)]</t>
  </si>
  <si>
    <t>C49</t>
  </si>
  <si>
    <t>tc_pT_fuction</t>
  </si>
  <si>
    <t>[Site-specific experimental relationships]</t>
  </si>
  <si>
    <t>Thermal conductivity averaging methodology</t>
  </si>
  <si>
    <t>[BLK]</t>
  </si>
  <si>
    <t>[Single Steel probe (Bullard) in-situ TC]</t>
  </si>
  <si>
    <t>[Outrigger probe (Lister) with corer]</t>
  </si>
  <si>
    <t>[D/V Glomar Challenger]</t>
  </si>
  <si>
    <t>[D/V JOIDES Resolution]</t>
  </si>
  <si>
    <t>[Outrigger probe (Ewing) without corer]</t>
  </si>
  <si>
    <t>[Drilling-Clustering]</t>
  </si>
  <si>
    <t>[Probing-Clustering]</t>
  </si>
  <si>
    <t>[AAPG correction]</t>
  </si>
  <si>
    <t>[pT - Hyndman et al. (1974)]</t>
  </si>
  <si>
    <t>Number of temperature recordings</t>
  </si>
  <si>
    <t>[T - Ratcliffe (1960)]</t>
  </si>
  <si>
    <t>[pT - Ratcliffe (1960)]</t>
  </si>
  <si>
    <t>[Other numerical computations]</t>
  </si>
  <si>
    <t>[EGRT]</t>
  </si>
  <si>
    <t>[GRT]</t>
  </si>
  <si>
    <t>[HT-FT]</t>
  </si>
  <si>
    <t>[cHT-FT]</t>
  </si>
  <si>
    <t>[Outrigger probe (Von Herzen) in-situ TC]</t>
  </si>
  <si>
    <t>[Outrigger probe (Haenel) in-situ TC]</t>
  </si>
  <si>
    <t>[pT - Langseth (1965)]</t>
  </si>
  <si>
    <t>[Random or periodic depth sampling]</t>
  </si>
  <si>
    <t>continental</t>
  </si>
  <si>
    <t>marine</t>
  </si>
  <si>
    <t>acidic_igneous_material</t>
  </si>
  <si>
    <t>acidic_igneous_rock</t>
  </si>
  <si>
    <t>alkali_feldspar_granite</t>
  </si>
  <si>
    <t>alkali_feldspar_rhyolite</t>
  </si>
  <si>
    <t>alkali_feldspar_syenite</t>
  </si>
  <si>
    <t>alkali_feldspar_syenitic_rock</t>
  </si>
  <si>
    <t>alkali_feldspar_trachyte</t>
  </si>
  <si>
    <t>alkali_feldspar_trachytic_rock</t>
  </si>
  <si>
    <t>alkali-olivine_basalt</t>
  </si>
  <si>
    <t>amphibolite</t>
  </si>
  <si>
    <t>andesite</t>
  </si>
  <si>
    <t>anorthosite</t>
  </si>
  <si>
    <t>anorthositic_rock</t>
  </si>
  <si>
    <t>anthracite_coal</t>
  </si>
  <si>
    <t>anthropogenic_material</t>
  </si>
  <si>
    <t>anthropogenic_unconsolidated_material</t>
  </si>
  <si>
    <t>aphanite</t>
  </si>
  <si>
    <t>aplite</t>
  </si>
  <si>
    <t>arenite</t>
  </si>
  <si>
    <t>ash_and_lapilli</t>
  </si>
  <si>
    <t>ash_breccia_bomb_or_block_tephra</t>
  </si>
  <si>
    <t>ash_tuff_lapillistone_and_lapilli_tuff</t>
  </si>
  <si>
    <t>basalt</t>
  </si>
  <si>
    <t>basanite</t>
  </si>
  <si>
    <t>basanitic_foidite</t>
  </si>
  <si>
    <t>basic_igneous_material</t>
  </si>
  <si>
    <t>basic_igneous_rock</t>
  </si>
  <si>
    <t>bauxite</t>
  </si>
  <si>
    <t>biogenic_sediment</t>
  </si>
  <si>
    <t>biogenic_silica_sedimentary_rock</t>
  </si>
  <si>
    <t>bituminous_coal</t>
  </si>
  <si>
    <t>boninite</t>
  </si>
  <si>
    <t>boulder_gravel_size_sediment</t>
  </si>
  <si>
    <t>boundstone</t>
  </si>
  <si>
    <t>breccia</t>
  </si>
  <si>
    <t>breccia_gouge_series</t>
  </si>
  <si>
    <t>calcareous_carbonate_sediment</t>
  </si>
  <si>
    <t>calcareous_carbonate_sedimentary_material</t>
  </si>
  <si>
    <t>calcareous_carbonate_sedimentary_rock</t>
  </si>
  <si>
    <t>carbonate_mud</t>
  </si>
  <si>
    <t>carbonate_mudstone</t>
  </si>
  <si>
    <t>carbonate_ooze</t>
  </si>
  <si>
    <t>carbonate_rich_mud</t>
  </si>
  <si>
    <t>carbonate_rich_mudstone</t>
  </si>
  <si>
    <t>carbonate_sediment</t>
  </si>
  <si>
    <t>carbonate_sedimentary_material</t>
  </si>
  <si>
    <t>carbonate_sedimentary_rock</t>
  </si>
  <si>
    <t>carbonate_wackestone</t>
  </si>
  <si>
    <t>carbonatite</t>
  </si>
  <si>
    <t>cataclasite_series</t>
  </si>
  <si>
    <t>chalk</t>
  </si>
  <si>
    <t>chemical_sedimentary_material</t>
  </si>
  <si>
    <t>chlorite_actinolite_epidote_metamorphic_rock</t>
  </si>
  <si>
    <t>clastic_sediment</t>
  </si>
  <si>
    <t>clastic_sedimentary_material</t>
  </si>
  <si>
    <t>clastic_sedimentary_rock</t>
  </si>
  <si>
    <t>clay</t>
  </si>
  <si>
    <t>claystone</t>
  </si>
  <si>
    <t>coal</t>
  </si>
  <si>
    <t>cobble_gravel_size_sediment</t>
  </si>
  <si>
    <t>composite_genesis_material</t>
  </si>
  <si>
    <t>composite_genesis_rock</t>
  </si>
  <si>
    <t>compound_material</t>
  </si>
  <si>
    <t>clastic_conglomerate</t>
  </si>
  <si>
    <t>crystalline_carbonate</t>
  </si>
  <si>
    <t>dacite</t>
  </si>
  <si>
    <t>diamictite</t>
  </si>
  <si>
    <t>diamicton</t>
  </si>
  <si>
    <t>diorite</t>
  </si>
  <si>
    <t>dioritic_rock</t>
  </si>
  <si>
    <t>dioritoid</t>
  </si>
  <si>
    <t>doleritic_rock</t>
  </si>
  <si>
    <t>dolostone</t>
  </si>
  <si>
    <t>dolomitic_or_magnesian_sedimentary_material</t>
  </si>
  <si>
    <t>dolomitic_or_magnesian_sedimentary_rock</t>
  </si>
  <si>
    <t>dolomitic_sediment</t>
  </si>
  <si>
    <t>duricrust</t>
  </si>
  <si>
    <t>eclogite</t>
  </si>
  <si>
    <t>evaporite</t>
  </si>
  <si>
    <t>exotic_alkaline_rock</t>
  </si>
  <si>
    <t>exotic_composition_igneous_rock</t>
  </si>
  <si>
    <t>exotic_evaporite</t>
  </si>
  <si>
    <t>fault_related_material</t>
  </si>
  <si>
    <t>fine_grained_igneous_rock</t>
  </si>
  <si>
    <t>foid_bearing_alkali_feldspar_syenite</t>
  </si>
  <si>
    <t>foid_bearing_alkali_feldspar_trachyte</t>
  </si>
  <si>
    <t>foid_bearing_anorthosite</t>
  </si>
  <si>
    <t>foid_bearing_diorite</t>
  </si>
  <si>
    <t>foid_bearing_gabbro</t>
  </si>
  <si>
    <t>foid_bearing_latite</t>
  </si>
  <si>
    <t>foid_bearing_monzodiorite</t>
  </si>
  <si>
    <t>foid_bearing_monzogabbro</t>
  </si>
  <si>
    <t>foid_bearing_monzonite</t>
  </si>
  <si>
    <t>foid_bearing_syenite</t>
  </si>
  <si>
    <t>foid_bearing_trachyte</t>
  </si>
  <si>
    <t>foid_diorite</t>
  </si>
  <si>
    <t>foid_dioritoid</t>
  </si>
  <si>
    <t>foid_gabbro</t>
  </si>
  <si>
    <t>foid_gabbroid</t>
  </si>
  <si>
    <t>foid_monzodiorite</t>
  </si>
  <si>
    <t>foid_monzogabbro</t>
  </si>
  <si>
    <t>foid_monzosyenite</t>
  </si>
  <si>
    <t>foid_syenite</t>
  </si>
  <si>
    <t>foid_syenitoid</t>
  </si>
  <si>
    <t>foidite</t>
  </si>
  <si>
    <t>foiditoid</t>
  </si>
  <si>
    <t>foidolite</t>
  </si>
  <si>
    <t>foliated_metamorphic_rock</t>
  </si>
  <si>
    <t>fragmental_igneous_material</t>
  </si>
  <si>
    <t>fragmental_igneous_rock</t>
  </si>
  <si>
    <t>framestone</t>
  </si>
  <si>
    <t>gabbro</t>
  </si>
  <si>
    <t>gabbroic_rock</t>
  </si>
  <si>
    <t>gabbroid</t>
  </si>
  <si>
    <t>generic_conglomerate</t>
  </si>
  <si>
    <t>generic_mudstone</t>
  </si>
  <si>
    <t>generic_sandstone</t>
  </si>
  <si>
    <t>glass_rich_igneous_rock</t>
  </si>
  <si>
    <t>glassy_igneous_rock</t>
  </si>
  <si>
    <t xml:space="preserve">glaucophane_lawsonite_epidote_metamorphic_rock        </t>
  </si>
  <si>
    <t>gneiss</t>
  </si>
  <si>
    <t>grainstone</t>
  </si>
  <si>
    <t>granite</t>
  </si>
  <si>
    <t>granitoid</t>
  </si>
  <si>
    <t>granodiorite</t>
  </si>
  <si>
    <t>granofels</t>
  </si>
  <si>
    <t>granulite</t>
  </si>
  <si>
    <t>gravel</t>
  </si>
  <si>
    <t>gravel_size_sediment</t>
  </si>
  <si>
    <t>rock_gypsum_or_anhydrite</t>
  </si>
  <si>
    <t>high_magnesium_fine_grained_igneous_rocks</t>
  </si>
  <si>
    <t>hornblendite</t>
  </si>
  <si>
    <t>hornfels</t>
  </si>
  <si>
    <t>hybrid_sediment</t>
  </si>
  <si>
    <t>hybrid_sedimentary_rock</t>
  </si>
  <si>
    <t>igneous_material</t>
  </si>
  <si>
    <t>igneous_rock</t>
  </si>
  <si>
    <t>impact_generated_material</t>
  </si>
  <si>
    <t>impure_calcareous_carbonate_sediment</t>
  </si>
  <si>
    <t>impure_carbonate_sediment</t>
  </si>
  <si>
    <t>impure_carbonate_sedimentary_rock</t>
  </si>
  <si>
    <t>impure_dolostone</t>
  </si>
  <si>
    <t>impure_dolomitic_sediment</t>
  </si>
  <si>
    <t>impure_limestone</t>
  </si>
  <si>
    <t>intermediate_composition_igneous_material</t>
  </si>
  <si>
    <t>intermediate_composition_igneous_rock</t>
  </si>
  <si>
    <t>iron_rich_sediment</t>
  </si>
  <si>
    <t>iron_rich_sedimentary_material</t>
  </si>
  <si>
    <t>iron_rich_sedimentary_rock</t>
  </si>
  <si>
    <t>kalsilitic_and_melilitic_rock</t>
  </si>
  <si>
    <t>komatiitic_rock</t>
  </si>
  <si>
    <t>latite</t>
  </si>
  <si>
    <t>latitic_rock</t>
  </si>
  <si>
    <t>lignite</t>
  </si>
  <si>
    <t>limestone</t>
  </si>
  <si>
    <t>marble</t>
  </si>
  <si>
    <t>material_formed_in_surficial_environment</t>
  </si>
  <si>
    <t>metamorphic_rock</t>
  </si>
  <si>
    <t>metasomatic_rock</t>
  </si>
  <si>
    <t>mica_schist</t>
  </si>
  <si>
    <t>migmatite</t>
  </si>
  <si>
    <t>monzodiorite</t>
  </si>
  <si>
    <t>monzodioritic_rock</t>
  </si>
  <si>
    <t>monzogabbro</t>
  </si>
  <si>
    <t>monzogabbroic_rock</t>
  </si>
  <si>
    <t>monzogranite</t>
  </si>
  <si>
    <t>monzonite</t>
  </si>
  <si>
    <t>monzonitic_rock</t>
  </si>
  <si>
    <t>mud</t>
  </si>
  <si>
    <t>mud_size_sediment</t>
  </si>
  <si>
    <t>clastic_mudstone</t>
  </si>
  <si>
    <t>mylonitic_rock</t>
  </si>
  <si>
    <t>natural_unconsolidated_material</t>
  </si>
  <si>
    <t>non_clastic_siliceous_sediment</t>
  </si>
  <si>
    <t>non_clastic_siliceous_sedimentary_material</t>
  </si>
  <si>
    <t>non_clastic_siliceous_sedimentary_rock</t>
  </si>
  <si>
    <t>ooze</t>
  </si>
  <si>
    <t>organic_bearing_mudstone</t>
  </si>
  <si>
    <t>organic_rich_sediment</t>
  </si>
  <si>
    <t>organic_rich_sedimentary_material</t>
  </si>
  <si>
    <t>organic_rich_sedimentary_rock</t>
  </si>
  <si>
    <t>orthogneiss</t>
  </si>
  <si>
    <t>packstone</t>
  </si>
  <si>
    <t>paragneiss</t>
  </si>
  <si>
    <t>peat</t>
  </si>
  <si>
    <t>pebble_gravel_size_sediment</t>
  </si>
  <si>
    <t>pegmatite</t>
  </si>
  <si>
    <t>peridotite</t>
  </si>
  <si>
    <t>phaneritic_igneous_rock</t>
  </si>
  <si>
    <t>phonolilte</t>
  </si>
  <si>
    <t>phonolitic_basanite</t>
  </si>
  <si>
    <t>phonolitic_foidite</t>
  </si>
  <si>
    <t>phonolitic_tephrite</t>
  </si>
  <si>
    <t>phonolitoid</t>
  </si>
  <si>
    <t>phosphate_rich_sediment</t>
  </si>
  <si>
    <t>phosphate_rich_sedimentary_material</t>
  </si>
  <si>
    <t>phosphorite</t>
  </si>
  <si>
    <t>phyllite</t>
  </si>
  <si>
    <t>phyllonite</t>
  </si>
  <si>
    <t>porphyry</t>
  </si>
  <si>
    <t>pure_calcareous_carbonate_sediment</t>
  </si>
  <si>
    <t>pure_carbonate_mudstone</t>
  </si>
  <si>
    <t>pure_carbonate_sediment</t>
  </si>
  <si>
    <t>pure_carbonate_sedimentary_rock</t>
  </si>
  <si>
    <t>pure_dolomitic_sediment</t>
  </si>
  <si>
    <t>pyroclastic_material</t>
  </si>
  <si>
    <t>pyroclastic_rock</t>
  </si>
  <si>
    <t>pyroxenite</t>
  </si>
  <si>
    <t>quartz_alkali_feldspar_syenite</t>
  </si>
  <si>
    <t>quartz_alkali_feldspar_trachyte</t>
  </si>
  <si>
    <t>quartz_anorthosite</t>
  </si>
  <si>
    <t>quartz_diorite</t>
  </si>
  <si>
    <t>quartz_gabbro</t>
  </si>
  <si>
    <t>quartz_latite</t>
  </si>
  <si>
    <t>quartz_monzodiorite</t>
  </si>
  <si>
    <t>quartz_monzogabbro</t>
  </si>
  <si>
    <t>quartz_monzonite</t>
  </si>
  <si>
    <t>quartz_rich_igneous_rock</t>
  </si>
  <si>
    <t>quartz_syenite</t>
  </si>
  <si>
    <t>quartz_trachyte</t>
  </si>
  <si>
    <t>quartzite</t>
  </si>
  <si>
    <t>residual_material</t>
  </si>
  <si>
    <t>rhyolite</t>
  </si>
  <si>
    <t>rhyolitoid</t>
  </si>
  <si>
    <t>rock</t>
  </si>
  <si>
    <t>rock_salt</t>
  </si>
  <si>
    <t>sand</t>
  </si>
  <si>
    <t>sand_size_sediment</t>
  </si>
  <si>
    <t>clastic_sandstone</t>
  </si>
  <si>
    <t>sapropel</t>
  </si>
  <si>
    <t>schist</t>
  </si>
  <si>
    <t>sediment</t>
  </si>
  <si>
    <t>sedimentary_material</t>
  </si>
  <si>
    <t>sedimentary_rock</t>
  </si>
  <si>
    <t>serpentinite</t>
  </si>
  <si>
    <t>shale</t>
  </si>
  <si>
    <t>silicate_mud</t>
  </si>
  <si>
    <t>silicate_mudstone</t>
  </si>
  <si>
    <t>siliceous_ooze</t>
  </si>
  <si>
    <t>silt</t>
  </si>
  <si>
    <t>siltstone</t>
  </si>
  <si>
    <t>skarn</t>
  </si>
  <si>
    <t>slate</t>
  </si>
  <si>
    <t>spilite</t>
  </si>
  <si>
    <t>syenite</t>
  </si>
  <si>
    <t>syenitic_rock</t>
  </si>
  <si>
    <t>syenitoid</t>
  </si>
  <si>
    <t>syenogranite</t>
  </si>
  <si>
    <t>tephra</t>
  </si>
  <si>
    <t>tephrite</t>
  </si>
  <si>
    <t>tephritic_foidite</t>
  </si>
  <si>
    <t>tephritic_phonolite</t>
  </si>
  <si>
    <t>tephritoid</t>
  </si>
  <si>
    <t>tholeiitic_basalt</t>
  </si>
  <si>
    <t>tonalite</t>
  </si>
  <si>
    <t>trachyte</t>
  </si>
  <si>
    <t>trachytic_rock</t>
  </si>
  <si>
    <t>trachytoid</t>
  </si>
  <si>
    <t>travertine</t>
  </si>
  <si>
    <t xml:space="preserve">tuff_breccia_agglomerate_or_pyroclastic_breccia       </t>
  </si>
  <si>
    <t>tuffite</t>
  </si>
  <si>
    <t>ultrabasic_igneous_rock</t>
  </si>
  <si>
    <t>ultramafic_igneous_rock</t>
  </si>
  <si>
    <t>unconsolidated_material</t>
  </si>
  <si>
    <t>wacke</t>
  </si>
  <si>
    <t>Aalenian</t>
  </si>
  <si>
    <t>Aeronian</t>
  </si>
  <si>
    <t>Albian</t>
  </si>
  <si>
    <t>Anisian</t>
  </si>
  <si>
    <t>Aptian</t>
  </si>
  <si>
    <t>Aquitanian</t>
  </si>
  <si>
    <t>Archean</t>
  </si>
  <si>
    <t>Artinskian</t>
  </si>
  <si>
    <t>Asselian</t>
  </si>
  <si>
    <t>Bajocian</t>
  </si>
  <si>
    <t>Barremian</t>
  </si>
  <si>
    <t>Bartonian</t>
  </si>
  <si>
    <t>Bashkirian</t>
  </si>
  <si>
    <t>Bathonian</t>
  </si>
  <si>
    <t>Berriasian</t>
  </si>
  <si>
    <t>Burdigalian</t>
  </si>
  <si>
    <t>Calabrian</t>
  </si>
  <si>
    <t>Callovian</t>
  </si>
  <si>
    <t>Calymmian</t>
  </si>
  <si>
    <t>Cambrian</t>
  </si>
  <si>
    <t>CambrianSeries2</t>
  </si>
  <si>
    <t>CambrianSeries3</t>
  </si>
  <si>
    <t>CambrianStage10</t>
  </si>
  <si>
    <t>CambrianStage2</t>
  </si>
  <si>
    <t>CambrianStage3</t>
  </si>
  <si>
    <t>CambrianStage4</t>
  </si>
  <si>
    <t>CambrianStage5</t>
  </si>
  <si>
    <t>Campanian</t>
  </si>
  <si>
    <t>Capitanian</t>
  </si>
  <si>
    <t>Carboniferous</t>
  </si>
  <si>
    <t>Carnian</t>
  </si>
  <si>
    <t>Cenomanian</t>
  </si>
  <si>
    <t>Cenozoic</t>
  </si>
  <si>
    <t>Changhsingian</t>
  </si>
  <si>
    <t>Chattian</t>
  </si>
  <si>
    <t>MiddlePleistocene</t>
  </si>
  <si>
    <t>Cisuralian</t>
  </si>
  <si>
    <t>Coniacian</t>
  </si>
  <si>
    <t>Cretaceous</t>
  </si>
  <si>
    <t>Cryogenian</t>
  </si>
  <si>
    <t>Danian</t>
  </si>
  <si>
    <t>Dapingian</t>
  </si>
  <si>
    <t>Darriwilian</t>
  </si>
  <si>
    <t>Devonian</t>
  </si>
  <si>
    <t>Drumian</t>
  </si>
  <si>
    <t>LowerCretaceous</t>
  </si>
  <si>
    <t>LowerDevonian</t>
  </si>
  <si>
    <t>LowerJurassic</t>
  </si>
  <si>
    <t>LowerMississippian</t>
  </si>
  <si>
    <t>LowerOrdovician</t>
  </si>
  <si>
    <t>LowerPennsylvanian</t>
  </si>
  <si>
    <t>LowerTriassic</t>
  </si>
  <si>
    <t>Ectasian</t>
  </si>
  <si>
    <t>Ediacaran</t>
  </si>
  <si>
    <t>Eifelian</t>
  </si>
  <si>
    <t>Emsian</t>
  </si>
  <si>
    <t>Eoarchean</t>
  </si>
  <si>
    <t>Eocene</t>
  </si>
  <si>
    <t>Famennian</t>
  </si>
  <si>
    <t>Floian</t>
  </si>
  <si>
    <t>Fortunian</t>
  </si>
  <si>
    <t>Frasnian</t>
  </si>
  <si>
    <t>Furongian</t>
  </si>
  <si>
    <t>Gelasian</t>
  </si>
  <si>
    <t>Givetian</t>
  </si>
  <si>
    <t>Gorstian</t>
  </si>
  <si>
    <t>Greenlandian</t>
  </si>
  <si>
    <t>Guadalupian</t>
  </si>
  <si>
    <t>Guzhangian</t>
  </si>
  <si>
    <t>Gzhelian</t>
  </si>
  <si>
    <t>Hadean</t>
  </si>
  <si>
    <t>Hauterivian</t>
  </si>
  <si>
    <t>Hettangian</t>
  </si>
  <si>
    <t>Hirnantian</t>
  </si>
  <si>
    <t>Holocene</t>
  </si>
  <si>
    <t>Homerian</t>
  </si>
  <si>
    <t>Induan</t>
  </si>
  <si>
    <t>Ionian</t>
  </si>
  <si>
    <t>Jiangshanian</t>
  </si>
  <si>
    <t>Jurassic</t>
  </si>
  <si>
    <t>Kasimovian</t>
  </si>
  <si>
    <t>Katian</t>
  </si>
  <si>
    <t>Kimmeridgian</t>
  </si>
  <si>
    <t>Kungurian</t>
  </si>
  <si>
    <t>Ladinian</t>
  </si>
  <si>
    <t>Langhian</t>
  </si>
  <si>
    <t>UpperCretaceous</t>
  </si>
  <si>
    <t>UpperDevonian</t>
  </si>
  <si>
    <t>UpperJurassic</t>
  </si>
  <si>
    <t>UpperMississippian</t>
  </si>
  <si>
    <t>UpperOrdovician</t>
  </si>
  <si>
    <t>UpperPennsylvanian</t>
  </si>
  <si>
    <t>UpperPleistocene</t>
  </si>
  <si>
    <t>UpperTriassic</t>
  </si>
  <si>
    <t>Llandovery</t>
  </si>
  <si>
    <t>Lochkovian</t>
  </si>
  <si>
    <t>Lopingian</t>
  </si>
  <si>
    <t>Ludfordian</t>
  </si>
  <si>
    <t>Ludlow</t>
  </si>
  <si>
    <t>Lutetian</t>
  </si>
  <si>
    <t>Maastrichtian</t>
  </si>
  <si>
    <t>Meghalayan</t>
  </si>
  <si>
    <t>Mesoarchean</t>
  </si>
  <si>
    <t>Mesoproterozoic</t>
  </si>
  <si>
    <t>Mesozoic</t>
  </si>
  <si>
    <t>Messinian</t>
  </si>
  <si>
    <t>Miaolingian</t>
  </si>
  <si>
    <t>MiddleDevonian</t>
  </si>
  <si>
    <t>MiddleJurassic</t>
  </si>
  <si>
    <t>MiddleMississippian</t>
  </si>
  <si>
    <t>MiddleOrdovician</t>
  </si>
  <si>
    <t>MiddlePennsylvanian</t>
  </si>
  <si>
    <t>MiddleTriassic</t>
  </si>
  <si>
    <t>Miocene</t>
  </si>
  <si>
    <t>Mississippian</t>
  </si>
  <si>
    <t>Moscovian</t>
  </si>
  <si>
    <t>Neoarchean</t>
  </si>
  <si>
    <t>Neogene</t>
  </si>
  <si>
    <t>Neoproterozoic</t>
  </si>
  <si>
    <t>Norian</t>
  </si>
  <si>
    <t>Northgrippian</t>
  </si>
  <si>
    <t>Olenekian</t>
  </si>
  <si>
    <t>Oligocene</t>
  </si>
  <si>
    <t>Ordovician</t>
  </si>
  <si>
    <t>Orosirian</t>
  </si>
  <si>
    <t>Oxfordian</t>
  </si>
  <si>
    <t>Paibian</t>
  </si>
  <si>
    <t>Paleoarchean</t>
  </si>
  <si>
    <t>Paleocene</t>
  </si>
  <si>
    <t>Paleogene</t>
  </si>
  <si>
    <t>Paleoproterozoic</t>
  </si>
  <si>
    <t>Paleozoic</t>
  </si>
  <si>
    <t>Pennsylvanian</t>
  </si>
  <si>
    <t>Permian</t>
  </si>
  <si>
    <t>Phanerozoic</t>
  </si>
  <si>
    <t>Piacenzian</t>
  </si>
  <si>
    <t>Pleistocene</t>
  </si>
  <si>
    <t>Pliensbachian</t>
  </si>
  <si>
    <t>Pliocene</t>
  </si>
  <si>
    <t>Pragian</t>
  </si>
  <si>
    <t>Precambrian</t>
  </si>
  <si>
    <t>Priabonian</t>
  </si>
  <si>
    <t>Pridoli</t>
  </si>
  <si>
    <t>Proterozoic</t>
  </si>
  <si>
    <t>Quaternary</t>
  </si>
  <si>
    <t>Rhaetian</t>
  </si>
  <si>
    <t>Rhuddanian</t>
  </si>
  <si>
    <t>Rhyacian</t>
  </si>
  <si>
    <t>Roadian</t>
  </si>
  <si>
    <t>Rupelian</t>
  </si>
  <si>
    <t>Sakmarian</t>
  </si>
  <si>
    <t>Sandbian</t>
  </si>
  <si>
    <t>Santonian</t>
  </si>
  <si>
    <t>Selandian</t>
  </si>
  <si>
    <t>Serpukhovian</t>
  </si>
  <si>
    <t>Serravallian</t>
  </si>
  <si>
    <t>Sheinwoodian</t>
  </si>
  <si>
    <t>Siderian</t>
  </si>
  <si>
    <t>Silurian</t>
  </si>
  <si>
    <t>Sinemurian</t>
  </si>
  <si>
    <t>Statherian</t>
  </si>
  <si>
    <t>Stenian</t>
  </si>
  <si>
    <t>Telychian</t>
  </si>
  <si>
    <t>Terreneuvian</t>
  </si>
  <si>
    <t>Thanetian</t>
  </si>
  <si>
    <t>Tithonian</t>
  </si>
  <si>
    <t>Toarcian</t>
  </si>
  <si>
    <t>Tonian</t>
  </si>
  <si>
    <t>Tortonian</t>
  </si>
  <si>
    <t>Tournaisian</t>
  </si>
  <si>
    <t>Tremadocian</t>
  </si>
  <si>
    <t>Triassic</t>
  </si>
  <si>
    <t>Turonian</t>
  </si>
  <si>
    <t>Valanginian</t>
  </si>
  <si>
    <t>Visean</t>
  </si>
  <si>
    <t>Wenlock</t>
  </si>
  <si>
    <t>Wordian</t>
  </si>
  <si>
    <t>Wuchiapingian</t>
  </si>
  <si>
    <t>Wuliuan</t>
  </si>
  <si>
    <t>Ypresian</t>
  </si>
  <si>
    <t>Zanclean</t>
  </si>
  <si>
    <t>[Considered - T]</t>
  </si>
  <si>
    <t>[Considered - p]</t>
  </si>
  <si>
    <t>[Probing (onshore-lake-river-etc.)]</t>
  </si>
  <si>
    <t>[Indirect (GTM-BSR-CPD-etc.)]</t>
  </si>
  <si>
    <t>[Onshore (lake-river-etc.)]</t>
  </si>
  <si>
    <t>[Considered - pT]</t>
  </si>
  <si>
    <t>Surface/Bottom-water temperature</t>
  </si>
  <si>
    <t>Surface_temperature</t>
  </si>
  <si>
    <t>years– months</t>
  </si>
  <si>
    <t>-273.15 – 999.99</t>
  </si>
  <si>
    <t>[T - Birch &amp; Clark (1940)]</t>
  </si>
  <si>
    <t>[Probing (offshore-ocean)]</t>
  </si>
  <si>
    <t>[Other published correction (specify in comments)]</t>
  </si>
  <si>
    <t>[Lab - other (specify in comments)]</t>
  </si>
  <si>
    <t>[Corrected (specify in comments)]</t>
  </si>
  <si>
    <t>Antarctica</t>
  </si>
  <si>
    <t>Asia</t>
  </si>
  <si>
    <t>Africa</t>
  </si>
  <si>
    <t>Australia</t>
  </si>
  <si>
    <t>Europe</t>
  </si>
  <si>
    <t>North America</t>
  </si>
  <si>
    <t>South America</t>
  </si>
  <si>
    <t>[Literature-unspecified]</t>
  </si>
  <si>
    <t>[Lab - line source - full space]</t>
  </si>
  <si>
    <t>[Lab - line source - half space]</t>
  </si>
  <si>
    <t>[Lab - plane source - full space]</t>
  </si>
  <si>
    <t>[Lab - plane source - half space]</t>
  </si>
  <si>
    <t>[Estimation - from water content-porosity]</t>
  </si>
  <si>
    <t>[Expedition-Cruise number]</t>
  </si>
  <si>
    <t xml:space="preserve">Corrected temperature gradient </t>
  </si>
  <si>
    <t>Corrected temperature gradient uncertainty</t>
  </si>
  <si>
    <t>T_grad_mean_cor</t>
  </si>
  <si>
    <t>T_grad_uncertainty_cor</t>
  </si>
  <si>
    <t>The template is originally  developed by Fuchs et al (2023) and it is updated by Fuchs et al (2025) as a Global Heat Flow Database Data Template Version 2025.05</t>
  </si>
  <si>
    <t>For more detail see Fuchs et al. (2023) and Fuchs et al. (2025)</t>
  </si>
  <si>
    <t>MiddleTriassic; UpperTriassic</t>
  </si>
  <si>
    <t>Precambrian; Paleozoic</t>
  </si>
  <si>
    <t>quartz_syenite; quartz_diorite; granite</t>
  </si>
  <si>
    <t>clastic_sandstone; siltstone; clay; gravel; carbonate_sediment</t>
  </si>
  <si>
    <t>clay; carbonate_sediment</t>
  </si>
  <si>
    <t>pure_calcareous_carbonate_sediment; Limestone</t>
  </si>
  <si>
    <t>igneous_rock; metamorphic_rock</t>
  </si>
  <si>
    <t>Permian; Carboniferous</t>
  </si>
  <si>
    <t>gabbro; ultrabasic_igneous_rock</t>
  </si>
  <si>
    <t>Proterozoic; Archean</t>
  </si>
  <si>
    <t xml:space="preserve">sediment; granite; igneous_rock </t>
  </si>
  <si>
    <t>Paleozoic; Mesozoic</t>
  </si>
  <si>
    <t>granite; metamorphic_rock</t>
  </si>
  <si>
    <t>ultrabasic_igneous_rock; carbonate_sediment; serpentinite</t>
  </si>
  <si>
    <t>gneiss; schist; amphibolite; sedimentary_rock</t>
  </si>
  <si>
    <t>siltstone; sand</t>
  </si>
  <si>
    <t>claystone; clay; clastic_sandstone; slate; limestone</t>
  </si>
  <si>
    <t>limestone; impure_limestone; clastic_sandstone</t>
  </si>
  <si>
    <t>Quaternary; Eocene</t>
  </si>
  <si>
    <t>M6</t>
  </si>
  <si>
    <t>M7</t>
  </si>
  <si>
    <t>M11</t>
  </si>
  <si>
    <t>M15</t>
  </si>
  <si>
    <t>M16</t>
  </si>
  <si>
    <t>M18</t>
  </si>
  <si>
    <t>M26</t>
  </si>
  <si>
    <t>M29</t>
  </si>
  <si>
    <t>M33</t>
  </si>
  <si>
    <t>M34</t>
  </si>
  <si>
    <t>M40</t>
  </si>
  <si>
    <t>M44</t>
  </si>
  <si>
    <t>Aisabokhae_2024</t>
  </si>
  <si>
    <t>diorite; granodiorite</t>
  </si>
  <si>
    <t>29.07.2025</t>
  </si>
  <si>
    <t>Nigeria</t>
  </si>
  <si>
    <t>Moataz Sayed, Samah Elbarbary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</si>
</sst>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"/>
  </numFmts>
  <fonts count="9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 tint="0.34998626667073579"/>
      <name val="Calibri"/>
      <family val="2"/>
      <scheme val="minor"/>
    </font>
    <font>
      <sz val="8"/>
      <color theme="1" tint="0.34998626667073579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theme="1"/>
      <name val="Calibri"/>
      <family val="2"/>
      <charset val="162"/>
      <scheme val="minor"/>
    </font>
    <font>
      <b/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3B3B4"/>
        <bgColor indexed="64"/>
      </patternFill>
    </fill>
    <fill>
      <patternFill patternType="solid">
        <fgColor rgb="FFD5E8E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AD6C2"/>
        <bgColor indexed="64"/>
      </patternFill>
    </fill>
    <fill>
      <patternFill patternType="solid">
        <fgColor rgb="FFECDFF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2" fontId="2" fillId="9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2" fontId="2" fillId="8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164" fontId="2" fillId="9" borderId="1" xfId="0" applyNumberFormat="1" applyFont="1" applyFill="1" applyBorder="1" applyAlignment="1">
      <alignment horizontal="center" vertical="center" wrapText="1"/>
    </xf>
    <xf numFmtId="49" fontId="2" fillId="9" borderId="1" xfId="0" applyNumberFormat="1" applyFont="1" applyFill="1" applyBorder="1" applyAlignment="1">
      <alignment horizontal="center" vertical="center" wrapText="1"/>
    </xf>
    <xf numFmtId="2" fontId="2" fillId="9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/>
    </xf>
    <xf numFmtId="164" fontId="4" fillId="9" borderId="1" xfId="0" applyNumberFormat="1" applyFont="1" applyFill="1" applyBorder="1" applyAlignment="1">
      <alignment horizontal="center"/>
    </xf>
    <xf numFmtId="49" fontId="4" fillId="9" borderId="1" xfId="0" applyNumberFormat="1" applyFont="1" applyFill="1" applyBorder="1" applyAlignment="1">
      <alignment horizontal="center"/>
    </xf>
    <xf numFmtId="2" fontId="4" fillId="9" borderId="1" xfId="0" applyNumberFormat="1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 wrapText="1"/>
    </xf>
    <xf numFmtId="2" fontId="1" fillId="9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164" fontId="6" fillId="9" borderId="1" xfId="0" applyNumberFormat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right" vertical="center" wrapText="1"/>
    </xf>
    <xf numFmtId="0" fontId="2" fillId="11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2" fontId="6" fillId="9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49" fontId="2" fillId="2" borderId="1" xfId="0" applyNumberFormat="1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2" fillId="6" borderId="1" xfId="0" applyNumberFormat="1" applyFont="1" applyFill="1" applyBorder="1"/>
    <xf numFmtId="2" fontId="2" fillId="6" borderId="1" xfId="0" applyNumberFormat="1" applyFont="1" applyFill="1" applyBorder="1"/>
    <xf numFmtId="49" fontId="2" fillId="7" borderId="1" xfId="0" applyNumberFormat="1" applyFont="1" applyFill="1" applyBorder="1"/>
    <xf numFmtId="49" fontId="2" fillId="4" borderId="1" xfId="0" applyNumberFormat="1" applyFont="1" applyFill="1" applyBorder="1"/>
    <xf numFmtId="49" fontId="2" fillId="16" borderId="1" xfId="0" applyNumberFormat="1" applyFont="1" applyFill="1" applyBorder="1"/>
    <xf numFmtId="0" fontId="2" fillId="0" borderId="0" xfId="0" applyFont="1" applyAlignment="1">
      <alignment wrapText="1"/>
    </xf>
    <xf numFmtId="165" fontId="2" fillId="17" borderId="1" xfId="0" applyNumberFormat="1" applyFont="1" applyFill="1" applyBorder="1"/>
    <xf numFmtId="166" fontId="2" fillId="17" borderId="1" xfId="0" applyNumberFormat="1" applyFont="1" applyFill="1" applyBorder="1"/>
    <xf numFmtId="2" fontId="2" fillId="17" borderId="1" xfId="0" applyNumberFormat="1" applyFont="1" applyFill="1" applyBorder="1"/>
    <xf numFmtId="0" fontId="2" fillId="14" borderId="3" xfId="0" applyFont="1" applyFill="1" applyBorder="1" applyAlignment="1">
      <alignment horizontal="center" vertical="center"/>
    </xf>
    <xf numFmtId="2" fontId="2" fillId="9" borderId="3" xfId="0" applyNumberFormat="1" applyFont="1" applyFill="1" applyBorder="1" applyAlignment="1">
      <alignment horizontal="center" vertical="center"/>
    </xf>
    <xf numFmtId="2" fontId="1" fillId="9" borderId="3" xfId="0" applyNumberFormat="1" applyFont="1" applyFill="1" applyBorder="1" applyAlignment="1">
      <alignment horizontal="center" vertical="center" wrapText="1"/>
    </xf>
    <xf numFmtId="2" fontId="2" fillId="9" borderId="3" xfId="0" applyNumberFormat="1" applyFont="1" applyFill="1" applyBorder="1" applyAlignment="1">
      <alignment horizontal="center" vertical="center" wrapText="1"/>
    </xf>
    <xf numFmtId="2" fontId="4" fillId="9" borderId="3" xfId="0" applyNumberFormat="1" applyFont="1" applyFill="1" applyBorder="1" applyAlignment="1">
      <alignment horizontal="center"/>
    </xf>
    <xf numFmtId="49" fontId="2" fillId="2" borderId="4" xfId="0" applyNumberFormat="1" applyFont="1" applyFill="1" applyBorder="1" applyAlignment="1">
      <alignment horizontal="center" vertical="center" wrapText="1"/>
    </xf>
    <xf numFmtId="2" fontId="2" fillId="17" borderId="3" xfId="0" applyNumberFormat="1" applyFont="1" applyFill="1" applyBorder="1"/>
    <xf numFmtId="0" fontId="2" fillId="3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2" fillId="15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/>
    </xf>
    <xf numFmtId="49" fontId="2" fillId="2" borderId="5" xfId="0" applyNumberFormat="1" applyFont="1" applyFill="1" applyBorder="1" applyAlignment="1">
      <alignment horizontal="center" vertical="center" wrapText="1"/>
    </xf>
    <xf numFmtId="0" fontId="2" fillId="0" borderId="6" xfId="0" applyFont="1" applyBorder="1"/>
    <xf numFmtId="1" fontId="2" fillId="17" borderId="1" xfId="0" applyNumberFormat="1" applyFont="1" applyFill="1" applyBorder="1"/>
    <xf numFmtId="166" fontId="2" fillId="17" borderId="3" xfId="0" applyNumberFormat="1" applyFont="1" applyFill="1" applyBorder="1"/>
    <xf numFmtId="0" fontId="1" fillId="0" borderId="0" xfId="0" applyFont="1" applyAlignment="1">
      <alignment horizontal="right" indent="1"/>
    </xf>
    <xf numFmtId="0" fontId="1" fillId="0" borderId="0" xfId="0" applyFont="1" applyAlignment="1">
      <alignment horizontal="right" vertical="center" wrapText="1" indent="1"/>
    </xf>
    <xf numFmtId="0" fontId="3" fillId="0" borderId="0" xfId="0" applyFont="1" applyAlignment="1">
      <alignment horizontal="right" indent="1"/>
    </xf>
    <xf numFmtId="0" fontId="1" fillId="9" borderId="1" xfId="0" applyFont="1" applyFill="1" applyBorder="1" applyAlignment="1">
      <alignment horizontal="right" vertical="center" wrapText="1" indent="1"/>
    </xf>
    <xf numFmtId="0" fontId="2" fillId="6" borderId="1" xfId="0" applyFont="1" applyFill="1" applyBorder="1" applyAlignment="1">
      <alignment horizontal="right" indent="1"/>
    </xf>
    <xf numFmtId="0" fontId="2" fillId="0" borderId="0" xfId="0" applyFont="1" applyAlignment="1">
      <alignment horizontal="right" inden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/>
    </xf>
    <xf numFmtId="49" fontId="2" fillId="16" borderId="1" xfId="0" applyNumberFormat="1" applyFont="1" applyFill="1" applyBorder="1" applyAlignment="1">
      <alignment horizontal="center" vertical="center" wrapText="1"/>
    </xf>
    <xf numFmtId="49" fontId="2" fillId="16" borderId="1" xfId="0" applyNumberFormat="1" applyFont="1" applyFill="1" applyBorder="1" applyAlignment="1">
      <alignment horizontal="center" vertical="center"/>
    </xf>
    <xf numFmtId="49" fontId="6" fillId="9" borderId="1" xfId="0" applyNumberFormat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164" fontId="8" fillId="9" borderId="1" xfId="0" applyNumberFormat="1" applyFont="1" applyFill="1" applyBorder="1" applyAlignment="1">
      <alignment horizontal="center" vertical="center" wrapText="1"/>
    </xf>
    <xf numFmtId="2" fontId="8" fillId="9" borderId="1" xfId="0" applyNumberFormat="1" applyFont="1" applyFill="1" applyBorder="1" applyAlignment="1">
      <alignment horizontal="center" vertical="center" wrapText="1"/>
    </xf>
    <xf numFmtId="49" fontId="8" fillId="9" borderId="1" xfId="0" applyNumberFormat="1" applyFont="1" applyFill="1" applyBorder="1" applyAlignment="1">
      <alignment horizontal="center" vertical="center" wrapText="1"/>
    </xf>
    <xf numFmtId="49" fontId="2" fillId="19" borderId="1" xfId="0" applyNumberFormat="1" applyFont="1" applyFill="1" applyBorder="1" applyAlignment="1">
      <alignment horizontal="center" vertical="center"/>
    </xf>
    <xf numFmtId="0" fontId="2" fillId="19" borderId="0" xfId="0" applyFont="1" applyFill="1" applyAlignment="1">
      <alignment wrapText="1"/>
    </xf>
    <xf numFmtId="0" fontId="2" fillId="19" borderId="0" xfId="0" applyFont="1" applyFill="1"/>
    <xf numFmtId="49" fontId="5" fillId="6" borderId="1" xfId="0" applyNumberFormat="1" applyFont="1" applyFill="1" applyBorder="1"/>
    <xf numFmtId="49" fontId="2" fillId="6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D6C2"/>
      <color rgb="FFE3B3B4"/>
      <color rgb="FFECDFF5"/>
      <color rgb="FFFF5050"/>
      <color rgb="FFE3B3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opLeftCell="C1" workbookViewId="0">
      <selection activeCell="J7" sqref="J7:J18"/>
    </sheetView>
  </sheetViews>
  <sheetFormatPr defaultColWidth="11.42578125" defaultRowHeight="15" x14ac:dyDescent="0.25"/>
  <sheetData>
    <row r="1" spans="1:10" x14ac:dyDescent="0.25">
      <c r="A1" t="s">
        <v>870</v>
      </c>
    </row>
    <row r="2" spans="1:10" x14ac:dyDescent="0.25">
      <c r="A2" t="s">
        <v>871</v>
      </c>
    </row>
    <row r="7" spans="1:10" x14ac:dyDescent="0.25">
      <c r="B7" s="39" t="s">
        <v>891</v>
      </c>
      <c r="C7">
        <v>10</v>
      </c>
      <c r="D7">
        <v>23</v>
      </c>
      <c r="E7">
        <v>53</v>
      </c>
      <c r="F7">
        <f>C7+(D7/60)+(E7/3600)</f>
        <v>10.398055555555555</v>
      </c>
      <c r="G7">
        <v>11</v>
      </c>
      <c r="H7">
        <v>47</v>
      </c>
      <c r="I7">
        <v>14</v>
      </c>
      <c r="J7">
        <f>G7+(H7/60)+(I7/3600)</f>
        <v>11.787222222222223</v>
      </c>
    </row>
    <row r="8" spans="1:10" x14ac:dyDescent="0.25">
      <c r="B8" s="39" t="s">
        <v>892</v>
      </c>
      <c r="C8">
        <v>10</v>
      </c>
      <c r="D8">
        <v>24</v>
      </c>
      <c r="E8">
        <v>2</v>
      </c>
      <c r="F8">
        <f t="shared" ref="F8:F18" si="0">C8+(D8/60)+(E8/3600)</f>
        <v>10.400555555555556</v>
      </c>
      <c r="G8">
        <v>11</v>
      </c>
      <c r="H8">
        <v>52</v>
      </c>
      <c r="I8">
        <v>11</v>
      </c>
      <c r="J8">
        <f t="shared" ref="J8:J18" si="1">G8+(H8/60)+(I8/3600)</f>
        <v>11.869722222222222</v>
      </c>
    </row>
    <row r="9" spans="1:10" x14ac:dyDescent="0.25">
      <c r="B9" s="39" t="s">
        <v>893</v>
      </c>
      <c r="C9">
        <v>9</v>
      </c>
      <c r="D9">
        <v>50</v>
      </c>
      <c r="E9">
        <v>19</v>
      </c>
      <c r="F9">
        <f t="shared" si="0"/>
        <v>9.8386111111111116</v>
      </c>
      <c r="G9">
        <v>11</v>
      </c>
      <c r="H9">
        <v>13</v>
      </c>
      <c r="I9">
        <v>1</v>
      </c>
      <c r="J9">
        <f t="shared" si="1"/>
        <v>11.216944444444444</v>
      </c>
    </row>
    <row r="10" spans="1:10" x14ac:dyDescent="0.25">
      <c r="B10" s="39" t="s">
        <v>894</v>
      </c>
      <c r="C10">
        <v>9</v>
      </c>
      <c r="D10">
        <v>55</v>
      </c>
      <c r="E10">
        <v>10</v>
      </c>
      <c r="F10">
        <f t="shared" si="0"/>
        <v>9.9194444444444443</v>
      </c>
      <c r="G10">
        <v>11</v>
      </c>
      <c r="H10">
        <v>18</v>
      </c>
      <c r="I10">
        <v>37</v>
      </c>
      <c r="J10">
        <f t="shared" si="1"/>
        <v>11.310277777777779</v>
      </c>
    </row>
    <row r="11" spans="1:10" x14ac:dyDescent="0.25">
      <c r="B11" s="39" t="s">
        <v>895</v>
      </c>
      <c r="C11">
        <v>9</v>
      </c>
      <c r="D11">
        <v>55</v>
      </c>
      <c r="E11">
        <v>15</v>
      </c>
      <c r="F11">
        <f t="shared" si="0"/>
        <v>9.9208333333333325</v>
      </c>
      <c r="G11">
        <v>11</v>
      </c>
      <c r="H11">
        <v>19</v>
      </c>
      <c r="I11">
        <v>33</v>
      </c>
      <c r="J11">
        <f t="shared" si="1"/>
        <v>11.325833333333334</v>
      </c>
    </row>
    <row r="12" spans="1:10" x14ac:dyDescent="0.25">
      <c r="B12" s="39" t="s">
        <v>896</v>
      </c>
      <c r="C12">
        <v>9</v>
      </c>
      <c r="D12">
        <v>57</v>
      </c>
      <c r="E12">
        <v>27</v>
      </c>
      <c r="F12">
        <f t="shared" si="0"/>
        <v>9.9574999999999996</v>
      </c>
      <c r="G12">
        <v>11</v>
      </c>
      <c r="H12">
        <v>23</v>
      </c>
      <c r="I12">
        <v>22</v>
      </c>
      <c r="J12">
        <f t="shared" si="1"/>
        <v>11.389444444444443</v>
      </c>
    </row>
    <row r="13" spans="1:10" x14ac:dyDescent="0.25">
      <c r="B13" s="39" t="s">
        <v>897</v>
      </c>
      <c r="C13">
        <v>9</v>
      </c>
      <c r="D13">
        <v>58</v>
      </c>
      <c r="E13">
        <v>16</v>
      </c>
      <c r="F13">
        <f t="shared" si="0"/>
        <v>9.9711111111111119</v>
      </c>
      <c r="G13">
        <v>11</v>
      </c>
      <c r="H13">
        <v>14</v>
      </c>
      <c r="I13">
        <v>53</v>
      </c>
      <c r="J13">
        <f t="shared" si="1"/>
        <v>11.248055555555554</v>
      </c>
    </row>
    <row r="14" spans="1:10" x14ac:dyDescent="0.25">
      <c r="B14" s="39" t="s">
        <v>898</v>
      </c>
      <c r="C14">
        <v>9</v>
      </c>
      <c r="D14">
        <v>58</v>
      </c>
      <c r="E14">
        <v>34</v>
      </c>
      <c r="F14">
        <f t="shared" si="0"/>
        <v>9.9761111111111109</v>
      </c>
      <c r="G14">
        <v>11</v>
      </c>
      <c r="H14">
        <v>12</v>
      </c>
      <c r="I14">
        <v>44</v>
      </c>
      <c r="J14">
        <f t="shared" si="1"/>
        <v>11.212222222222222</v>
      </c>
    </row>
    <row r="15" spans="1:10" x14ac:dyDescent="0.25">
      <c r="B15" s="39" t="s">
        <v>899</v>
      </c>
      <c r="C15">
        <v>10</v>
      </c>
      <c r="D15">
        <v>28</v>
      </c>
      <c r="E15">
        <v>49</v>
      </c>
      <c r="F15">
        <f t="shared" si="0"/>
        <v>10.480277777777777</v>
      </c>
      <c r="G15">
        <v>11</v>
      </c>
      <c r="H15">
        <v>59</v>
      </c>
      <c r="I15">
        <v>3</v>
      </c>
      <c r="J15">
        <f t="shared" si="1"/>
        <v>11.984166666666665</v>
      </c>
    </row>
    <row r="16" spans="1:10" x14ac:dyDescent="0.25">
      <c r="B16" s="39" t="s">
        <v>900</v>
      </c>
      <c r="C16">
        <v>10</v>
      </c>
      <c r="D16">
        <v>29</v>
      </c>
      <c r="E16">
        <v>11</v>
      </c>
      <c r="F16">
        <f t="shared" si="0"/>
        <v>10.486388888888888</v>
      </c>
      <c r="G16">
        <v>11</v>
      </c>
      <c r="H16">
        <v>59</v>
      </c>
      <c r="I16">
        <v>7</v>
      </c>
      <c r="J16">
        <f t="shared" si="1"/>
        <v>11.985277777777776</v>
      </c>
    </row>
    <row r="17" spans="2:10" x14ac:dyDescent="0.25">
      <c r="B17" s="39" t="s">
        <v>901</v>
      </c>
      <c r="C17">
        <v>10</v>
      </c>
      <c r="D17">
        <v>17</v>
      </c>
      <c r="E17">
        <v>44</v>
      </c>
      <c r="F17">
        <f t="shared" si="0"/>
        <v>10.295555555555556</v>
      </c>
      <c r="G17">
        <v>11</v>
      </c>
      <c r="H17">
        <v>50</v>
      </c>
      <c r="I17">
        <v>11</v>
      </c>
      <c r="J17">
        <f t="shared" si="1"/>
        <v>11.836388888888889</v>
      </c>
    </row>
    <row r="18" spans="2:10" x14ac:dyDescent="0.25">
      <c r="B18" s="39" t="s">
        <v>902</v>
      </c>
      <c r="C18">
        <v>10</v>
      </c>
      <c r="D18">
        <v>18</v>
      </c>
      <c r="E18">
        <v>43</v>
      </c>
      <c r="F18">
        <f t="shared" si="0"/>
        <v>10.311944444444444</v>
      </c>
      <c r="G18">
        <v>11</v>
      </c>
      <c r="H18">
        <v>56</v>
      </c>
      <c r="I18">
        <v>1</v>
      </c>
      <c r="J18">
        <f t="shared" si="1"/>
        <v>11.933611111111111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20"/>
  <sheetViews>
    <sheetView tabSelected="1" zoomScale="140" zoomScaleNormal="140" workbookViewId="0">
      <pane xSplit="4" topLeftCell="E1" activePane="topRight" state="frozen"/>
      <selection pane="topRight" activeCell="M19" sqref="M19"/>
    </sheetView>
  </sheetViews>
  <sheetFormatPr defaultColWidth="9" defaultRowHeight="11.25" x14ac:dyDescent="0.2"/>
  <cols>
    <col min="1" max="1" width="8.28515625" style="71" customWidth="1"/>
    <col min="2" max="2" width="13" style="32" customWidth="1"/>
    <col min="3" max="3" width="14.42578125" style="32" customWidth="1"/>
    <col min="4" max="4" width="13.28515625" style="32" bestFit="1" customWidth="1"/>
    <col min="5" max="5" width="9" style="32"/>
    <col min="6" max="6" width="10" style="32" customWidth="1"/>
    <col min="7" max="7" width="7.5703125" style="32" customWidth="1"/>
    <col min="8" max="8" width="21.5703125" style="32" customWidth="1"/>
    <col min="9" max="9" width="14.7109375" style="32" customWidth="1"/>
    <col min="10" max="10" width="15" style="32" customWidth="1"/>
    <col min="11" max="11" width="12.28515625" style="32" customWidth="1"/>
    <col min="12" max="12" width="13.42578125" style="32" customWidth="1"/>
    <col min="13" max="13" width="27" style="32" customWidth="1"/>
    <col min="14" max="14" width="15.5703125" style="32" customWidth="1"/>
    <col min="15" max="15" width="9" style="63"/>
    <col min="16" max="16" width="9" style="32"/>
    <col min="17" max="17" width="13.42578125" style="32" customWidth="1"/>
    <col min="18" max="18" width="9" style="32"/>
    <col min="19" max="19" width="9" style="32" customWidth="1"/>
    <col min="20" max="20" width="9" style="32"/>
    <col min="21" max="22" width="15.5703125" style="32" customWidth="1"/>
    <col min="23" max="23" width="17" style="32" customWidth="1"/>
    <col min="24" max="24" width="15" style="32" customWidth="1"/>
    <col min="25" max="25" width="20.42578125" style="32" customWidth="1"/>
    <col min="26" max="26" width="20.28515625" style="32" customWidth="1"/>
    <col min="27" max="27" width="15.42578125" style="32" customWidth="1"/>
    <col min="28" max="29" width="16.42578125" style="32" customWidth="1"/>
    <col min="30" max="30" width="17.42578125" style="32" customWidth="1"/>
    <col min="31" max="31" width="17.28515625" style="32" customWidth="1"/>
    <col min="32" max="32" width="15.5703125" style="32" customWidth="1"/>
    <col min="33" max="33" width="16.28515625" style="32" customWidth="1"/>
    <col min="34" max="34" width="19" style="32" customWidth="1"/>
    <col min="35" max="35" width="41.5703125" style="32" customWidth="1"/>
    <col min="36" max="36" width="12.5703125" style="32" customWidth="1"/>
    <col min="37" max="37" width="14" style="32" customWidth="1"/>
    <col min="38" max="38" width="11.5703125" style="32" customWidth="1"/>
    <col min="39" max="40" width="9" style="32"/>
    <col min="41" max="41" width="15.42578125" style="32" customWidth="1"/>
    <col min="42" max="42" width="17" style="32" customWidth="1"/>
    <col min="43" max="43" width="15.5703125" style="32" customWidth="1"/>
    <col min="44" max="44" width="18" style="32" customWidth="1"/>
    <col min="45" max="46" width="20" style="32" customWidth="1"/>
    <col min="47" max="48" width="9" style="32"/>
    <col min="49" max="49" width="28" style="32" customWidth="1"/>
    <col min="50" max="50" width="27.5703125" style="32" customWidth="1"/>
    <col min="51" max="51" width="9" style="32"/>
    <col min="52" max="52" width="18.5703125" style="32" customWidth="1"/>
    <col min="53" max="54" width="9" style="32"/>
    <col min="55" max="55" width="21.42578125" style="32" customWidth="1"/>
    <col min="56" max="56" width="19.42578125" style="32" customWidth="1"/>
    <col min="57" max="57" width="22" style="32" customWidth="1"/>
    <col min="58" max="60" width="26.28515625" style="32" customWidth="1"/>
    <col min="61" max="61" width="9" style="32"/>
    <col min="62" max="62" width="17" style="32" customWidth="1"/>
    <col min="63" max="63" width="9" style="32"/>
    <col min="64" max="64" width="10.42578125" style="32" customWidth="1"/>
    <col min="65" max="65" width="12" style="32" customWidth="1"/>
    <col min="66" max="66" width="8.42578125" style="32" customWidth="1"/>
    <col min="67" max="67" width="7.28515625" style="32" customWidth="1"/>
    <col min="68" max="68" width="8.42578125" style="32" customWidth="1"/>
    <col min="69" max="70" width="9.5703125" style="32" customWidth="1"/>
    <col min="71" max="71" width="5" style="32" customWidth="1"/>
    <col min="72" max="78" width="3" style="32" customWidth="1"/>
    <col min="79" max="80" width="5.42578125" style="32" customWidth="1"/>
    <col min="81" max="16384" width="9" style="32"/>
  </cols>
  <sheetData>
    <row r="1" spans="1:71" x14ac:dyDescent="0.2">
      <c r="A1" s="66" t="s">
        <v>66</v>
      </c>
      <c r="B1" s="25" t="s">
        <v>141</v>
      </c>
      <c r="C1" s="25" t="s">
        <v>142</v>
      </c>
      <c r="D1" s="25" t="s">
        <v>294</v>
      </c>
      <c r="E1" s="25" t="s">
        <v>295</v>
      </c>
      <c r="F1" s="25" t="s">
        <v>296</v>
      </c>
      <c r="G1" s="25" t="s">
        <v>297</v>
      </c>
      <c r="H1" s="25" t="s">
        <v>298</v>
      </c>
      <c r="I1" s="25" t="s">
        <v>299</v>
      </c>
      <c r="J1" s="25" t="s">
        <v>143</v>
      </c>
      <c r="K1" s="25" t="s">
        <v>144</v>
      </c>
      <c r="L1" s="25" t="s">
        <v>145</v>
      </c>
      <c r="M1" s="25" t="s">
        <v>146</v>
      </c>
      <c r="N1" s="25" t="s">
        <v>147</v>
      </c>
      <c r="O1" s="55" t="s">
        <v>148</v>
      </c>
      <c r="P1" s="2" t="s">
        <v>149</v>
      </c>
      <c r="Q1" s="2" t="s">
        <v>150</v>
      </c>
      <c r="R1" s="2" t="s">
        <v>151</v>
      </c>
      <c r="S1" s="2" t="s">
        <v>152</v>
      </c>
      <c r="T1" s="2" t="s">
        <v>153</v>
      </c>
      <c r="U1" s="2" t="s">
        <v>166</v>
      </c>
      <c r="V1" s="2" t="s">
        <v>167</v>
      </c>
      <c r="W1" s="2" t="s">
        <v>182</v>
      </c>
      <c r="X1" s="2" t="s">
        <v>183</v>
      </c>
      <c r="Y1" s="2" t="s">
        <v>184</v>
      </c>
      <c r="Z1" s="2" t="s">
        <v>185</v>
      </c>
      <c r="AA1" s="2" t="s">
        <v>186</v>
      </c>
      <c r="AB1" s="2" t="s">
        <v>154</v>
      </c>
      <c r="AC1" s="2" t="s">
        <v>165</v>
      </c>
      <c r="AD1" s="2" t="s">
        <v>181</v>
      </c>
      <c r="AE1" s="2" t="s">
        <v>187</v>
      </c>
      <c r="AF1" s="2" t="s">
        <v>155</v>
      </c>
      <c r="AG1" s="2" t="s">
        <v>188</v>
      </c>
      <c r="AH1" s="2" t="s">
        <v>189</v>
      </c>
      <c r="AI1" s="2" t="s">
        <v>156</v>
      </c>
      <c r="AJ1" s="2" t="s">
        <v>157</v>
      </c>
      <c r="AK1" s="2" t="s">
        <v>190</v>
      </c>
      <c r="AL1" s="2" t="s">
        <v>158</v>
      </c>
      <c r="AM1" s="2" t="s">
        <v>159</v>
      </c>
      <c r="AN1" s="2" t="s">
        <v>160</v>
      </c>
      <c r="AO1" s="2" t="s">
        <v>161</v>
      </c>
      <c r="AP1" s="2" t="s">
        <v>163</v>
      </c>
      <c r="AQ1" s="2" t="s">
        <v>162</v>
      </c>
      <c r="AR1" s="2" t="s">
        <v>164</v>
      </c>
      <c r="AS1" s="2" t="s">
        <v>169</v>
      </c>
      <c r="AT1" s="2" t="s">
        <v>170</v>
      </c>
      <c r="AU1" s="2" t="s">
        <v>191</v>
      </c>
      <c r="AV1" s="2" t="s">
        <v>192</v>
      </c>
      <c r="AW1" s="2" t="s">
        <v>171</v>
      </c>
      <c r="AX1" s="2" t="s">
        <v>172</v>
      </c>
      <c r="AY1" s="2" t="s">
        <v>173</v>
      </c>
      <c r="AZ1" s="2" t="s">
        <v>174</v>
      </c>
      <c r="BA1" s="2" t="s">
        <v>175</v>
      </c>
      <c r="BB1" s="2" t="s">
        <v>176</v>
      </c>
      <c r="BC1" s="2" t="s">
        <v>177</v>
      </c>
      <c r="BD1" s="2" t="s">
        <v>178</v>
      </c>
      <c r="BE1" s="2" t="s">
        <v>179</v>
      </c>
      <c r="BF1" s="2" t="s">
        <v>180</v>
      </c>
      <c r="BG1" s="2" t="s">
        <v>193</v>
      </c>
      <c r="BH1" s="2" t="s">
        <v>168</v>
      </c>
      <c r="BI1" s="2" t="s">
        <v>326</v>
      </c>
      <c r="BJ1" s="2" t="s">
        <v>327</v>
      </c>
      <c r="BK1" s="2" t="s">
        <v>363</v>
      </c>
      <c r="BL1" s="21" t="s">
        <v>202</v>
      </c>
      <c r="BM1" s="21" t="s">
        <v>203</v>
      </c>
      <c r="BN1" s="21" t="s">
        <v>204</v>
      </c>
      <c r="BO1" s="21" t="s">
        <v>205</v>
      </c>
      <c r="BP1" s="21" t="s">
        <v>206</v>
      </c>
      <c r="BQ1" s="21" t="s">
        <v>207</v>
      </c>
      <c r="BR1" s="21" t="s">
        <v>208</v>
      </c>
      <c r="BS1" s="21" t="s">
        <v>209</v>
      </c>
    </row>
    <row r="2" spans="1:71" x14ac:dyDescent="0.2">
      <c r="A2" s="66" t="s">
        <v>67</v>
      </c>
      <c r="B2" s="21" t="s">
        <v>0</v>
      </c>
      <c r="C2" s="21" t="s">
        <v>0</v>
      </c>
      <c r="D2" s="21" t="s">
        <v>0</v>
      </c>
      <c r="E2" s="22" t="s">
        <v>0</v>
      </c>
      <c r="F2" s="22" t="s">
        <v>0</v>
      </c>
      <c r="G2" s="22" t="s">
        <v>0</v>
      </c>
      <c r="H2" s="21" t="s">
        <v>0</v>
      </c>
      <c r="I2" s="7" t="s">
        <v>1</v>
      </c>
      <c r="J2" s="4" t="s">
        <v>1</v>
      </c>
      <c r="K2" s="4" t="s">
        <v>1</v>
      </c>
      <c r="L2" s="4" t="s">
        <v>1</v>
      </c>
      <c r="M2" s="21" t="s">
        <v>0</v>
      </c>
      <c r="N2" s="4" t="s">
        <v>1</v>
      </c>
      <c r="O2" s="56" t="s">
        <v>0</v>
      </c>
      <c r="P2" s="4" t="s">
        <v>1</v>
      </c>
      <c r="Q2" s="21" t="s">
        <v>0</v>
      </c>
      <c r="R2" s="21" t="s">
        <v>0</v>
      </c>
      <c r="S2" s="21" t="s">
        <v>0</v>
      </c>
      <c r="T2" s="21" t="s">
        <v>0</v>
      </c>
      <c r="U2" s="21" t="s">
        <v>0</v>
      </c>
      <c r="V2" s="4" t="s">
        <v>1</v>
      </c>
      <c r="W2" s="21" t="s">
        <v>0</v>
      </c>
      <c r="X2" s="4" t="s">
        <v>1</v>
      </c>
      <c r="Y2" s="21" t="s">
        <v>0</v>
      </c>
      <c r="Z2" s="21" t="s">
        <v>0</v>
      </c>
      <c r="AA2" s="21" t="s">
        <v>0</v>
      </c>
      <c r="AB2" s="21" t="s">
        <v>0</v>
      </c>
      <c r="AC2" s="21" t="s">
        <v>0</v>
      </c>
      <c r="AD2" s="21" t="s">
        <v>0</v>
      </c>
      <c r="AE2" s="21" t="s">
        <v>0</v>
      </c>
      <c r="AF2" s="21" t="s">
        <v>0</v>
      </c>
      <c r="AG2" s="21" t="s">
        <v>0</v>
      </c>
      <c r="AH2" s="8" t="s">
        <v>1</v>
      </c>
      <c r="AI2" s="8" t="s">
        <v>1</v>
      </c>
      <c r="AJ2" s="8" t="s">
        <v>1</v>
      </c>
      <c r="AK2" s="21" t="s">
        <v>0</v>
      </c>
      <c r="AL2" s="48" t="s">
        <v>2</v>
      </c>
      <c r="AM2" s="1" t="s">
        <v>2</v>
      </c>
      <c r="AN2" s="1" t="s">
        <v>2</v>
      </c>
      <c r="AO2" s="21" t="s">
        <v>0</v>
      </c>
      <c r="AP2" s="8" t="s">
        <v>1</v>
      </c>
      <c r="AQ2" s="1" t="s">
        <v>2</v>
      </c>
      <c r="AR2" s="1" t="s">
        <v>2</v>
      </c>
      <c r="AS2" s="21" t="s">
        <v>0</v>
      </c>
      <c r="AT2" s="21" t="s">
        <v>0</v>
      </c>
      <c r="AU2" s="8" t="s">
        <v>1</v>
      </c>
      <c r="AV2" s="8" t="s">
        <v>1</v>
      </c>
      <c r="AW2" s="8" t="s">
        <v>1</v>
      </c>
      <c r="AX2" s="8" t="s">
        <v>1</v>
      </c>
      <c r="AY2" s="8" t="s">
        <v>1</v>
      </c>
      <c r="AZ2" s="23" t="s">
        <v>0</v>
      </c>
      <c r="BA2" s="23" t="s">
        <v>0</v>
      </c>
      <c r="BB2" s="7" t="s">
        <v>1</v>
      </c>
      <c r="BC2" s="21" t="s">
        <v>0</v>
      </c>
      <c r="BD2" s="21" t="s">
        <v>0</v>
      </c>
      <c r="BE2" s="21" t="s">
        <v>0</v>
      </c>
      <c r="BF2" s="21" t="s">
        <v>0</v>
      </c>
      <c r="BG2" s="21" t="s">
        <v>0</v>
      </c>
      <c r="BH2" s="21" t="s">
        <v>0</v>
      </c>
      <c r="BI2" s="21" t="s">
        <v>0</v>
      </c>
      <c r="BJ2" s="7" t="s">
        <v>1</v>
      </c>
      <c r="BK2" s="1" t="s">
        <v>2</v>
      </c>
      <c r="BL2" s="33" t="s">
        <v>26</v>
      </c>
      <c r="BM2" s="33" t="s">
        <v>26</v>
      </c>
      <c r="BN2" s="33" t="s">
        <v>26</v>
      </c>
      <c r="BO2" s="33" t="s">
        <v>26</v>
      </c>
      <c r="BP2" s="33" t="s">
        <v>26</v>
      </c>
      <c r="BQ2" s="33" t="s">
        <v>26</v>
      </c>
      <c r="BR2" s="33" t="s">
        <v>26</v>
      </c>
      <c r="BS2" s="33" t="s">
        <v>26</v>
      </c>
    </row>
    <row r="3" spans="1:71" x14ac:dyDescent="0.2">
      <c r="A3" s="66" t="s">
        <v>68</v>
      </c>
      <c r="B3" s="9" t="s">
        <v>71</v>
      </c>
      <c r="C3" s="9" t="s">
        <v>71</v>
      </c>
      <c r="D3" s="9" t="s">
        <v>71</v>
      </c>
      <c r="E3" s="9" t="s">
        <v>71</v>
      </c>
      <c r="F3" s="9" t="s">
        <v>71</v>
      </c>
      <c r="G3" s="9" t="s">
        <v>71</v>
      </c>
      <c r="H3" s="9" t="s">
        <v>71</v>
      </c>
      <c r="I3" s="9" t="s">
        <v>71</v>
      </c>
      <c r="J3" s="9" t="s">
        <v>71</v>
      </c>
      <c r="K3" s="74" t="s">
        <v>51</v>
      </c>
      <c r="L3" s="74" t="s">
        <v>51</v>
      </c>
      <c r="M3" s="9" t="s">
        <v>71</v>
      </c>
      <c r="N3" s="9" t="s">
        <v>71</v>
      </c>
      <c r="O3" s="57" t="s">
        <v>71</v>
      </c>
      <c r="P3" s="10" t="s">
        <v>71</v>
      </c>
      <c r="Q3" s="10" t="s">
        <v>71</v>
      </c>
      <c r="R3" s="74" t="s">
        <v>51</v>
      </c>
      <c r="S3" s="74" t="s">
        <v>51</v>
      </c>
      <c r="T3" s="24" t="s">
        <v>3</v>
      </c>
      <c r="U3" s="10" t="s">
        <v>71</v>
      </c>
      <c r="V3" s="10" t="s">
        <v>71</v>
      </c>
      <c r="W3" s="10" t="s">
        <v>71</v>
      </c>
      <c r="X3" s="10" t="s">
        <v>71</v>
      </c>
      <c r="Y3" s="10" t="s">
        <v>71</v>
      </c>
      <c r="Z3" s="10" t="s">
        <v>71</v>
      </c>
      <c r="AA3" s="10" t="s">
        <v>71</v>
      </c>
      <c r="AB3" s="10" t="s">
        <v>71</v>
      </c>
      <c r="AC3" s="10" t="s">
        <v>71</v>
      </c>
      <c r="AD3" s="10" t="s">
        <v>71</v>
      </c>
      <c r="AE3" s="10" t="s">
        <v>71</v>
      </c>
      <c r="AF3" s="10" t="s">
        <v>71</v>
      </c>
      <c r="AG3" s="10" t="s">
        <v>71</v>
      </c>
      <c r="AH3" s="10" t="s">
        <v>71</v>
      </c>
      <c r="AI3" s="24" t="s">
        <v>3</v>
      </c>
      <c r="AJ3" s="24" t="s">
        <v>3</v>
      </c>
      <c r="AK3" s="24" t="s">
        <v>3</v>
      </c>
      <c r="AL3" s="10" t="s">
        <v>71</v>
      </c>
      <c r="AM3" s="10" t="s">
        <v>71</v>
      </c>
      <c r="AN3" s="10" t="s">
        <v>71</v>
      </c>
      <c r="AO3" s="10" t="s">
        <v>71</v>
      </c>
      <c r="AP3" s="10" t="s">
        <v>71</v>
      </c>
      <c r="AQ3" s="74" t="s">
        <v>51</v>
      </c>
      <c r="AR3" s="74" t="s">
        <v>51</v>
      </c>
      <c r="AS3" s="74" t="s">
        <v>51</v>
      </c>
      <c r="AT3" s="74" t="s">
        <v>51</v>
      </c>
      <c r="AU3" s="74" t="s">
        <v>51</v>
      </c>
      <c r="AV3" s="74" t="s">
        <v>51</v>
      </c>
      <c r="AW3" s="74" t="s">
        <v>51</v>
      </c>
      <c r="AX3" s="74" t="s">
        <v>51</v>
      </c>
      <c r="AY3" s="10" t="s">
        <v>71</v>
      </c>
      <c r="AZ3" s="10" t="s">
        <v>71</v>
      </c>
      <c r="BA3" s="10" t="s">
        <v>71</v>
      </c>
      <c r="BB3" s="10" t="s">
        <v>71</v>
      </c>
      <c r="BC3" s="10" t="s">
        <v>71</v>
      </c>
      <c r="BD3" s="10" t="s">
        <v>71</v>
      </c>
      <c r="BE3" s="10" t="s">
        <v>71</v>
      </c>
      <c r="BF3" s="10" t="s">
        <v>71</v>
      </c>
      <c r="BG3" s="10" t="s">
        <v>71</v>
      </c>
      <c r="BH3" s="10" t="s">
        <v>71</v>
      </c>
      <c r="BI3" s="10" t="s">
        <v>71</v>
      </c>
      <c r="BJ3" s="10" t="s">
        <v>71</v>
      </c>
      <c r="BK3" s="10" t="s">
        <v>71</v>
      </c>
      <c r="BL3" s="33" t="s">
        <v>26</v>
      </c>
      <c r="BM3" s="33" t="s">
        <v>26</v>
      </c>
      <c r="BN3" s="33" t="s">
        <v>26</v>
      </c>
      <c r="BO3" s="33" t="s">
        <v>26</v>
      </c>
      <c r="BP3" s="33" t="s">
        <v>26</v>
      </c>
      <c r="BQ3" s="33" t="s">
        <v>26</v>
      </c>
      <c r="BR3" s="33" t="s">
        <v>26</v>
      </c>
      <c r="BS3" s="33" t="s">
        <v>26</v>
      </c>
    </row>
    <row r="4" spans="1:71" s="38" customFormat="1" ht="33.75" x14ac:dyDescent="0.25">
      <c r="A4" s="67" t="s">
        <v>85</v>
      </c>
      <c r="B4" s="30" t="s">
        <v>86</v>
      </c>
      <c r="C4" s="30" t="s">
        <v>86</v>
      </c>
      <c r="D4" s="5" t="s">
        <v>26</v>
      </c>
      <c r="E4" s="5" t="s">
        <v>26</v>
      </c>
      <c r="F4" s="5" t="s">
        <v>26</v>
      </c>
      <c r="G4" s="29" t="s">
        <v>87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/>
      <c r="N4" s="5"/>
      <c r="O4" s="58" t="s">
        <v>86</v>
      </c>
      <c r="P4" s="30" t="s">
        <v>86</v>
      </c>
      <c r="Q4" s="34" t="s">
        <v>26</v>
      </c>
      <c r="R4" s="29" t="s">
        <v>87</v>
      </c>
      <c r="S4" s="29" t="s">
        <v>87</v>
      </c>
      <c r="T4" s="29" t="s">
        <v>87</v>
      </c>
      <c r="U4" s="5" t="s">
        <v>26</v>
      </c>
      <c r="V4" s="5" t="s">
        <v>26</v>
      </c>
      <c r="W4" s="5" t="s">
        <v>26</v>
      </c>
      <c r="X4" s="5" t="s">
        <v>26</v>
      </c>
      <c r="Y4" s="29" t="s">
        <v>87</v>
      </c>
      <c r="Z4" s="5" t="s">
        <v>26</v>
      </c>
      <c r="AA4" s="21" t="s">
        <v>105</v>
      </c>
      <c r="AB4" s="21" t="s">
        <v>105</v>
      </c>
      <c r="AC4" s="21" t="s">
        <v>105</v>
      </c>
      <c r="AD4" s="21" t="s">
        <v>105</v>
      </c>
      <c r="AE4" s="21" t="s">
        <v>105</v>
      </c>
      <c r="AF4" s="21" t="s">
        <v>105</v>
      </c>
      <c r="AG4" s="21" t="s">
        <v>105</v>
      </c>
      <c r="AH4" s="6" t="s">
        <v>26</v>
      </c>
      <c r="AI4" s="6" t="s">
        <v>26</v>
      </c>
      <c r="AJ4" s="6" t="s">
        <v>26</v>
      </c>
      <c r="AK4" s="29" t="s">
        <v>87</v>
      </c>
      <c r="AL4" s="49" t="s">
        <v>26</v>
      </c>
      <c r="AM4" s="5" t="s">
        <v>26</v>
      </c>
      <c r="AN4" s="5" t="s">
        <v>26</v>
      </c>
      <c r="AO4" s="5" t="s">
        <v>26</v>
      </c>
      <c r="AP4" s="5" t="s">
        <v>26</v>
      </c>
      <c r="AQ4" s="5" t="s">
        <v>26</v>
      </c>
      <c r="AR4" s="5" t="s">
        <v>26</v>
      </c>
      <c r="AS4" s="29" t="s">
        <v>87</v>
      </c>
      <c r="AT4" s="29" t="s">
        <v>87</v>
      </c>
      <c r="AU4" s="5" t="s">
        <v>26</v>
      </c>
      <c r="AV4" s="5" t="s">
        <v>26</v>
      </c>
      <c r="AW4" s="5" t="s">
        <v>26</v>
      </c>
      <c r="AX4" s="5" t="s">
        <v>26</v>
      </c>
      <c r="AY4" s="29" t="s">
        <v>87</v>
      </c>
      <c r="AZ4" s="5" t="s">
        <v>26</v>
      </c>
      <c r="BA4" s="6" t="s">
        <v>26</v>
      </c>
      <c r="BB4" s="5" t="s">
        <v>26</v>
      </c>
      <c r="BC4" s="29" t="s">
        <v>87</v>
      </c>
      <c r="BD4" s="29" t="s">
        <v>87</v>
      </c>
      <c r="BE4" s="29" t="s">
        <v>87</v>
      </c>
      <c r="BF4" s="29" t="s">
        <v>87</v>
      </c>
      <c r="BG4" s="29" t="s">
        <v>87</v>
      </c>
      <c r="BH4" s="29" t="s">
        <v>87</v>
      </c>
      <c r="BI4" s="29" t="s">
        <v>87</v>
      </c>
      <c r="BJ4" s="5" t="s">
        <v>26</v>
      </c>
      <c r="BK4" s="5" t="s">
        <v>26</v>
      </c>
      <c r="BL4" s="33" t="s">
        <v>26</v>
      </c>
      <c r="BM4" s="33" t="s">
        <v>26</v>
      </c>
      <c r="BN4" s="33" t="s">
        <v>26</v>
      </c>
      <c r="BO4" s="33" t="s">
        <v>26</v>
      </c>
      <c r="BP4" s="33" t="s">
        <v>26</v>
      </c>
      <c r="BQ4" s="33" t="s">
        <v>26</v>
      </c>
      <c r="BR4" s="33" t="s">
        <v>26</v>
      </c>
      <c r="BS4" s="33" t="s">
        <v>26</v>
      </c>
    </row>
    <row r="5" spans="1:71" s="73" customFormat="1" ht="45" x14ac:dyDescent="0.25">
      <c r="A5" s="72" t="s">
        <v>77</v>
      </c>
      <c r="B5" s="26" t="s">
        <v>313</v>
      </c>
      <c r="C5" s="26" t="s">
        <v>314</v>
      </c>
      <c r="D5" s="26" t="s">
        <v>32</v>
      </c>
      <c r="E5" s="27" t="s">
        <v>33</v>
      </c>
      <c r="F5" s="27" t="s">
        <v>34</v>
      </c>
      <c r="G5" s="26" t="s">
        <v>303</v>
      </c>
      <c r="H5" s="26" t="s">
        <v>37</v>
      </c>
      <c r="I5" s="19" t="s">
        <v>75</v>
      </c>
      <c r="J5" s="19" t="s">
        <v>106</v>
      </c>
      <c r="K5" s="19" t="s">
        <v>304</v>
      </c>
      <c r="L5" s="19" t="s">
        <v>305</v>
      </c>
      <c r="M5" s="26" t="s">
        <v>61</v>
      </c>
      <c r="N5" s="19" t="s">
        <v>62</v>
      </c>
      <c r="O5" s="59" t="s">
        <v>311</v>
      </c>
      <c r="P5" s="19" t="s">
        <v>312</v>
      </c>
      <c r="Q5" s="26" t="s">
        <v>38</v>
      </c>
      <c r="R5" s="26" t="s">
        <v>39</v>
      </c>
      <c r="S5" s="26" t="s">
        <v>60</v>
      </c>
      <c r="T5" s="26" t="s">
        <v>40</v>
      </c>
      <c r="U5" s="26" t="s">
        <v>94</v>
      </c>
      <c r="V5" s="79" t="s">
        <v>35</v>
      </c>
      <c r="W5" s="26" t="s">
        <v>43</v>
      </c>
      <c r="X5" s="19" t="s">
        <v>76</v>
      </c>
      <c r="Y5" s="26" t="s">
        <v>98</v>
      </c>
      <c r="Z5" s="26" t="s">
        <v>99</v>
      </c>
      <c r="AA5" s="26" t="s">
        <v>103</v>
      </c>
      <c r="AB5" s="26" t="s">
        <v>100</v>
      </c>
      <c r="AC5" s="26" t="s">
        <v>101</v>
      </c>
      <c r="AD5" s="26" t="s">
        <v>319</v>
      </c>
      <c r="AE5" s="26" t="s">
        <v>320</v>
      </c>
      <c r="AF5" s="26" t="s">
        <v>102</v>
      </c>
      <c r="AG5" s="26" t="s">
        <v>104</v>
      </c>
      <c r="AH5" s="20" t="s">
        <v>63</v>
      </c>
      <c r="AI5" s="19" t="s">
        <v>41</v>
      </c>
      <c r="AJ5" s="19" t="s">
        <v>42</v>
      </c>
      <c r="AK5" s="26" t="s">
        <v>47</v>
      </c>
      <c r="AL5" s="50" t="s">
        <v>843</v>
      </c>
      <c r="AM5" s="19" t="s">
        <v>44</v>
      </c>
      <c r="AN5" s="19" t="s">
        <v>45</v>
      </c>
      <c r="AO5" s="26" t="s">
        <v>119</v>
      </c>
      <c r="AP5" s="19" t="s">
        <v>46</v>
      </c>
      <c r="AQ5" s="19" t="s">
        <v>866</v>
      </c>
      <c r="AR5" s="19" t="s">
        <v>867</v>
      </c>
      <c r="AS5" s="26" t="s">
        <v>117</v>
      </c>
      <c r="AT5" s="26" t="s">
        <v>118</v>
      </c>
      <c r="AU5" s="19" t="s">
        <v>56</v>
      </c>
      <c r="AV5" s="19" t="s">
        <v>57</v>
      </c>
      <c r="AW5" s="19" t="s">
        <v>58</v>
      </c>
      <c r="AX5" s="19" t="s">
        <v>59</v>
      </c>
      <c r="AY5" s="19" t="s">
        <v>377</v>
      </c>
      <c r="AZ5" s="77" t="s">
        <v>36</v>
      </c>
      <c r="BA5" s="31" t="s">
        <v>48</v>
      </c>
      <c r="BB5" s="19" t="s">
        <v>130</v>
      </c>
      <c r="BC5" s="26" t="s">
        <v>131</v>
      </c>
      <c r="BD5" s="26" t="s">
        <v>345</v>
      </c>
      <c r="BE5" s="26" t="s">
        <v>132</v>
      </c>
      <c r="BF5" s="26" t="s">
        <v>133</v>
      </c>
      <c r="BG5" s="26" t="s">
        <v>134</v>
      </c>
      <c r="BH5" s="26" t="s">
        <v>135</v>
      </c>
      <c r="BI5" s="26" t="s">
        <v>49</v>
      </c>
      <c r="BJ5" s="19" t="s">
        <v>366</v>
      </c>
      <c r="BK5" s="19" t="s">
        <v>50</v>
      </c>
      <c r="BL5" s="19" t="s">
        <v>194</v>
      </c>
      <c r="BM5" s="19" t="s">
        <v>195</v>
      </c>
      <c r="BN5" s="19" t="s">
        <v>196</v>
      </c>
      <c r="BO5" s="19" t="s">
        <v>197</v>
      </c>
      <c r="BP5" s="19" t="s">
        <v>198</v>
      </c>
      <c r="BQ5" s="19" t="s">
        <v>199</v>
      </c>
      <c r="BR5" s="19" t="s">
        <v>68</v>
      </c>
      <c r="BS5" s="19" t="s">
        <v>200</v>
      </c>
    </row>
    <row r="6" spans="1:71" s="73" customFormat="1" ht="24" customHeight="1" x14ac:dyDescent="0.25">
      <c r="A6" s="72" t="s">
        <v>69</v>
      </c>
      <c r="B6" s="11" t="s">
        <v>4</v>
      </c>
      <c r="C6" s="11" t="s">
        <v>65</v>
      </c>
      <c r="D6" s="11" t="s">
        <v>5</v>
      </c>
      <c r="E6" s="12" t="s">
        <v>302</v>
      </c>
      <c r="F6" s="12" t="s">
        <v>301</v>
      </c>
      <c r="G6" s="11" t="s">
        <v>6</v>
      </c>
      <c r="H6" s="11" t="s">
        <v>72</v>
      </c>
      <c r="I6" s="11" t="s">
        <v>73</v>
      </c>
      <c r="J6" s="11" t="s">
        <v>7</v>
      </c>
      <c r="K6" s="11" t="s">
        <v>307</v>
      </c>
      <c r="L6" s="11" t="s">
        <v>306</v>
      </c>
      <c r="M6" s="11" t="s">
        <v>88</v>
      </c>
      <c r="N6" s="11" t="s">
        <v>89</v>
      </c>
      <c r="O6" s="60" t="s">
        <v>8</v>
      </c>
      <c r="P6" s="11" t="s">
        <v>91</v>
      </c>
      <c r="Q6" s="11" t="s">
        <v>9</v>
      </c>
      <c r="R6" s="11" t="s">
        <v>10</v>
      </c>
      <c r="S6" s="11" t="s">
        <v>90</v>
      </c>
      <c r="T6" s="11" t="s">
        <v>92</v>
      </c>
      <c r="U6" s="11" t="s">
        <v>95</v>
      </c>
      <c r="V6" s="11" t="s">
        <v>96</v>
      </c>
      <c r="W6" s="11" t="s">
        <v>97</v>
      </c>
      <c r="X6" s="11" t="s">
        <v>74</v>
      </c>
      <c r="Y6" s="11" t="s">
        <v>11</v>
      </c>
      <c r="Z6" s="11" t="s">
        <v>12</v>
      </c>
      <c r="AA6" s="11" t="s">
        <v>13</v>
      </c>
      <c r="AB6" s="11" t="s">
        <v>14</v>
      </c>
      <c r="AC6" s="11" t="s">
        <v>15</v>
      </c>
      <c r="AD6" s="11" t="s">
        <v>16</v>
      </c>
      <c r="AE6" s="11" t="s">
        <v>321</v>
      </c>
      <c r="AF6" s="11" t="s">
        <v>17</v>
      </c>
      <c r="AG6" s="11" t="s">
        <v>18</v>
      </c>
      <c r="AH6" s="14" t="s">
        <v>107</v>
      </c>
      <c r="AI6" s="11" t="s">
        <v>108</v>
      </c>
      <c r="AJ6" s="11" t="s">
        <v>109</v>
      </c>
      <c r="AK6" s="11" t="s">
        <v>113</v>
      </c>
      <c r="AL6" s="51" t="s">
        <v>844</v>
      </c>
      <c r="AM6" s="11" t="s">
        <v>114</v>
      </c>
      <c r="AN6" s="11" t="s">
        <v>115</v>
      </c>
      <c r="AO6" s="11" t="s">
        <v>120</v>
      </c>
      <c r="AP6" s="11" t="s">
        <v>121</v>
      </c>
      <c r="AQ6" s="78" t="s">
        <v>868</v>
      </c>
      <c r="AR6" s="11" t="s">
        <v>869</v>
      </c>
      <c r="AS6" s="11" t="s">
        <v>52</v>
      </c>
      <c r="AT6" s="11" t="s">
        <v>116</v>
      </c>
      <c r="AU6" s="11" t="s">
        <v>53</v>
      </c>
      <c r="AV6" s="11" t="s">
        <v>124</v>
      </c>
      <c r="AW6" s="11" t="s">
        <v>54</v>
      </c>
      <c r="AX6" s="11" t="s">
        <v>127</v>
      </c>
      <c r="AY6" s="11" t="s">
        <v>19</v>
      </c>
      <c r="AZ6" s="13" t="s">
        <v>128</v>
      </c>
      <c r="BA6" s="14" t="s">
        <v>20</v>
      </c>
      <c r="BB6" s="11" t="s">
        <v>129</v>
      </c>
      <c r="BC6" s="11" t="s">
        <v>21</v>
      </c>
      <c r="BD6" s="11" t="s">
        <v>346</v>
      </c>
      <c r="BE6" s="11" t="s">
        <v>22</v>
      </c>
      <c r="BF6" s="11" t="s">
        <v>136</v>
      </c>
      <c r="BG6" s="11" t="s">
        <v>137</v>
      </c>
      <c r="BH6" s="11" t="s">
        <v>364</v>
      </c>
      <c r="BI6" s="11" t="s">
        <v>139</v>
      </c>
      <c r="BJ6" s="11" t="s">
        <v>23</v>
      </c>
      <c r="BK6" s="11" t="s">
        <v>24</v>
      </c>
      <c r="BL6" s="11" t="s">
        <v>194</v>
      </c>
      <c r="BM6" s="11" t="s">
        <v>195</v>
      </c>
      <c r="BN6" s="11" t="s">
        <v>201</v>
      </c>
      <c r="BO6" s="11" t="s">
        <v>197</v>
      </c>
      <c r="BP6" s="11" t="s">
        <v>198</v>
      </c>
      <c r="BQ6" s="11" t="s">
        <v>199</v>
      </c>
      <c r="BR6" s="11" t="s">
        <v>68</v>
      </c>
      <c r="BS6" s="11" t="s">
        <v>66</v>
      </c>
    </row>
    <row r="7" spans="1:71" x14ac:dyDescent="0.2">
      <c r="A7" s="68" t="s">
        <v>70</v>
      </c>
      <c r="B7" s="15" t="s">
        <v>25</v>
      </c>
      <c r="C7" s="15" t="s">
        <v>25</v>
      </c>
      <c r="D7" s="15" t="s">
        <v>26</v>
      </c>
      <c r="E7" s="16" t="s">
        <v>300</v>
      </c>
      <c r="F7" s="16" t="s">
        <v>300</v>
      </c>
      <c r="G7" s="15" t="s">
        <v>27</v>
      </c>
      <c r="H7" s="15" t="s">
        <v>26</v>
      </c>
      <c r="I7" s="15" t="s">
        <v>26</v>
      </c>
      <c r="J7" s="15" t="s">
        <v>26</v>
      </c>
      <c r="K7" s="15" t="s">
        <v>27</v>
      </c>
      <c r="L7" s="15" t="s">
        <v>27</v>
      </c>
      <c r="M7" s="15" t="s">
        <v>26</v>
      </c>
      <c r="N7" s="15" t="s">
        <v>26</v>
      </c>
      <c r="O7" s="61" t="s">
        <v>25</v>
      </c>
      <c r="P7" s="15" t="s">
        <v>25</v>
      </c>
      <c r="Q7" s="15" t="s">
        <v>26</v>
      </c>
      <c r="R7" s="15" t="s">
        <v>27</v>
      </c>
      <c r="S7" s="15" t="s">
        <v>27</v>
      </c>
      <c r="T7" s="15" t="s">
        <v>27</v>
      </c>
      <c r="U7" s="15" t="s">
        <v>26</v>
      </c>
      <c r="V7" s="15" t="s">
        <v>26</v>
      </c>
      <c r="W7" s="15" t="s">
        <v>26</v>
      </c>
      <c r="X7" s="15" t="s">
        <v>26</v>
      </c>
      <c r="Y7" s="15" t="s">
        <v>26</v>
      </c>
      <c r="Z7" s="15" t="s">
        <v>26</v>
      </c>
      <c r="AA7" s="15" t="s">
        <v>26</v>
      </c>
      <c r="AB7" s="15" t="s">
        <v>26</v>
      </c>
      <c r="AC7" s="15" t="s">
        <v>26</v>
      </c>
      <c r="AD7" s="15" t="s">
        <v>26</v>
      </c>
      <c r="AE7" s="15" t="s">
        <v>26</v>
      </c>
      <c r="AF7" s="15" t="s">
        <v>26</v>
      </c>
      <c r="AG7" s="15" t="s">
        <v>26</v>
      </c>
      <c r="AH7" s="18" t="s">
        <v>26</v>
      </c>
      <c r="AI7" s="15" t="s">
        <v>26</v>
      </c>
      <c r="AJ7" s="15" t="s">
        <v>27</v>
      </c>
      <c r="AK7" s="15" t="s">
        <v>325</v>
      </c>
      <c r="AL7" s="52" t="s">
        <v>29</v>
      </c>
      <c r="AM7" s="15" t="s">
        <v>26</v>
      </c>
      <c r="AN7" s="15" t="s">
        <v>26</v>
      </c>
      <c r="AO7" s="15" t="s">
        <v>30</v>
      </c>
      <c r="AP7" s="15" t="s">
        <v>30</v>
      </c>
      <c r="AQ7" s="15" t="s">
        <v>30</v>
      </c>
      <c r="AR7" s="15" t="s">
        <v>30</v>
      </c>
      <c r="AS7" s="15" t="s">
        <v>26</v>
      </c>
      <c r="AT7" s="15" t="s">
        <v>26</v>
      </c>
      <c r="AU7" s="15" t="s">
        <v>55</v>
      </c>
      <c r="AV7" s="15" t="s">
        <v>55</v>
      </c>
      <c r="AW7" s="15" t="s">
        <v>26</v>
      </c>
      <c r="AX7" s="15" t="s">
        <v>26</v>
      </c>
      <c r="AY7" s="15" t="s">
        <v>26</v>
      </c>
      <c r="AZ7" s="17" t="s">
        <v>28</v>
      </c>
      <c r="BA7" s="18" t="s">
        <v>31</v>
      </c>
      <c r="BB7" s="15" t="s">
        <v>31</v>
      </c>
      <c r="BC7" s="15" t="s">
        <v>26</v>
      </c>
      <c r="BD7" s="15" t="s">
        <v>26</v>
      </c>
      <c r="BE7" s="15" t="s">
        <v>26</v>
      </c>
      <c r="BF7" s="15" t="s">
        <v>26</v>
      </c>
      <c r="BG7" s="15" t="s">
        <v>26</v>
      </c>
      <c r="BH7" s="15" t="s">
        <v>26</v>
      </c>
      <c r="BI7" s="15" t="s">
        <v>26</v>
      </c>
      <c r="BJ7" s="15" t="s">
        <v>26</v>
      </c>
      <c r="BK7" s="15" t="s">
        <v>26</v>
      </c>
      <c r="BL7" s="33" t="s">
        <v>26</v>
      </c>
      <c r="BM7" s="33" t="s">
        <v>26</v>
      </c>
      <c r="BN7" s="33" t="s">
        <v>26</v>
      </c>
      <c r="BO7" s="33" t="s">
        <v>26</v>
      </c>
      <c r="BP7" s="33" t="s">
        <v>26</v>
      </c>
      <c r="BQ7" s="33" t="s">
        <v>26</v>
      </c>
      <c r="BR7" s="33" t="s">
        <v>26</v>
      </c>
      <c r="BS7" s="33" t="s">
        <v>26</v>
      </c>
    </row>
    <row r="8" spans="1:71" s="38" customFormat="1" ht="33.75" x14ac:dyDescent="0.25">
      <c r="A8" s="69" t="s">
        <v>78</v>
      </c>
      <c r="B8" s="35" t="s">
        <v>80</v>
      </c>
      <c r="C8" s="35" t="s">
        <v>81</v>
      </c>
      <c r="D8" s="35" t="s">
        <v>26</v>
      </c>
      <c r="E8" s="35" t="s">
        <v>82</v>
      </c>
      <c r="F8" s="35" t="s">
        <v>83</v>
      </c>
      <c r="G8" s="35" t="s">
        <v>84</v>
      </c>
      <c r="H8" s="35" t="s">
        <v>212</v>
      </c>
      <c r="I8" s="35" t="s">
        <v>26</v>
      </c>
      <c r="J8" s="36" t="s">
        <v>64</v>
      </c>
      <c r="K8" s="36" t="s">
        <v>84</v>
      </c>
      <c r="L8" s="36" t="s">
        <v>84</v>
      </c>
      <c r="M8" s="35" t="s">
        <v>373</v>
      </c>
      <c r="N8" s="35" t="s">
        <v>220</v>
      </c>
      <c r="O8" s="62" t="s">
        <v>79</v>
      </c>
      <c r="P8" s="37" t="s">
        <v>81</v>
      </c>
      <c r="Q8" s="37" t="s">
        <v>310</v>
      </c>
      <c r="R8" s="33" t="s">
        <v>315</v>
      </c>
      <c r="S8" s="33" t="s">
        <v>315</v>
      </c>
      <c r="T8" s="37" t="s">
        <v>93</v>
      </c>
      <c r="U8" s="35" t="s">
        <v>140</v>
      </c>
      <c r="V8" s="35" t="s">
        <v>140</v>
      </c>
      <c r="W8" s="33" t="s">
        <v>210</v>
      </c>
      <c r="X8" s="35" t="s">
        <v>26</v>
      </c>
      <c r="Y8" s="37" t="s">
        <v>215</v>
      </c>
      <c r="Z8" s="37" t="s">
        <v>215</v>
      </c>
      <c r="AA8" s="37" t="s">
        <v>215</v>
      </c>
      <c r="AB8" s="37" t="s">
        <v>215</v>
      </c>
      <c r="AC8" s="37" t="s">
        <v>215</v>
      </c>
      <c r="AD8" s="37" t="s">
        <v>215</v>
      </c>
      <c r="AE8" s="37" t="s">
        <v>215</v>
      </c>
      <c r="AF8" s="37" t="s">
        <v>215</v>
      </c>
      <c r="AG8" s="37" t="s">
        <v>215</v>
      </c>
      <c r="AH8" s="35" t="s">
        <v>231</v>
      </c>
      <c r="AI8" s="37" t="s">
        <v>110</v>
      </c>
      <c r="AJ8" s="33" t="s">
        <v>111</v>
      </c>
      <c r="AK8" s="33" t="s">
        <v>112</v>
      </c>
      <c r="AL8" s="53" t="s">
        <v>846</v>
      </c>
      <c r="AM8" s="37" t="s">
        <v>122</v>
      </c>
      <c r="AN8" s="37" t="s">
        <v>122</v>
      </c>
      <c r="AO8" s="37" t="s">
        <v>123</v>
      </c>
      <c r="AP8" s="37" t="s">
        <v>123</v>
      </c>
      <c r="AQ8" s="37" t="s">
        <v>123</v>
      </c>
      <c r="AR8" s="37" t="s">
        <v>123</v>
      </c>
      <c r="AS8" s="33" t="s">
        <v>290</v>
      </c>
      <c r="AT8" s="33" t="s">
        <v>290</v>
      </c>
      <c r="AU8" s="37" t="s">
        <v>125</v>
      </c>
      <c r="AV8" s="37" t="s">
        <v>125</v>
      </c>
      <c r="AW8" s="33" t="s">
        <v>375</v>
      </c>
      <c r="AX8" s="33" t="s">
        <v>215</v>
      </c>
      <c r="AY8" s="37" t="s">
        <v>126</v>
      </c>
      <c r="AZ8" s="35" t="s">
        <v>336</v>
      </c>
      <c r="BA8" s="33" t="s">
        <v>111</v>
      </c>
      <c r="BB8" s="33" t="s">
        <v>111</v>
      </c>
      <c r="BC8" s="33" t="s">
        <v>215</v>
      </c>
      <c r="BD8" s="33" t="s">
        <v>347</v>
      </c>
      <c r="BE8" s="33" t="s">
        <v>349</v>
      </c>
      <c r="BF8" s="33" t="s">
        <v>356</v>
      </c>
      <c r="BG8" s="33" t="s">
        <v>248</v>
      </c>
      <c r="BH8" s="33" t="s">
        <v>215</v>
      </c>
      <c r="BI8" s="33" t="s">
        <v>138</v>
      </c>
      <c r="BJ8" s="33" t="s">
        <v>215</v>
      </c>
      <c r="BK8" s="33" t="s">
        <v>26</v>
      </c>
      <c r="BL8" s="33" t="s">
        <v>26</v>
      </c>
      <c r="BM8" s="33" t="s">
        <v>26</v>
      </c>
      <c r="BN8" s="33" t="s">
        <v>26</v>
      </c>
      <c r="BO8" s="33" t="s">
        <v>26</v>
      </c>
      <c r="BP8" s="33" t="s">
        <v>26</v>
      </c>
      <c r="BQ8" s="33" t="s">
        <v>854</v>
      </c>
      <c r="BR8" s="33" t="s">
        <v>389</v>
      </c>
      <c r="BS8" s="33" t="s">
        <v>26</v>
      </c>
    </row>
    <row r="9" spans="1:71" ht="11.25" customHeight="1" x14ac:dyDescent="0.2">
      <c r="A9" s="70">
        <v>1</v>
      </c>
      <c r="B9" s="46">
        <v>28.9</v>
      </c>
      <c r="C9" s="46"/>
      <c r="D9" s="39" t="s">
        <v>891</v>
      </c>
      <c r="E9" s="45">
        <v>10.398055555555555</v>
      </c>
      <c r="F9" s="45">
        <v>11.787222222222223</v>
      </c>
      <c r="G9" s="47"/>
      <c r="H9" s="43" t="s">
        <v>212</v>
      </c>
      <c r="I9" s="39"/>
      <c r="J9" s="43" t="s">
        <v>211</v>
      </c>
      <c r="K9" s="40">
        <v>243</v>
      </c>
      <c r="L9" s="40"/>
      <c r="M9" s="43" t="s">
        <v>216</v>
      </c>
      <c r="N9" s="43" t="s">
        <v>309</v>
      </c>
      <c r="O9" s="46">
        <v>28.9</v>
      </c>
      <c r="P9" s="46"/>
      <c r="Q9" s="43" t="s">
        <v>224</v>
      </c>
      <c r="R9" s="40">
        <v>217</v>
      </c>
      <c r="S9" s="40">
        <v>243</v>
      </c>
      <c r="T9" s="65"/>
      <c r="U9" s="39" t="s">
        <v>903</v>
      </c>
      <c r="V9" s="86"/>
      <c r="W9" s="43" t="s">
        <v>210</v>
      </c>
      <c r="X9" s="87"/>
      <c r="Y9" s="43" t="s">
        <v>215</v>
      </c>
      <c r="Z9" s="43" t="s">
        <v>215</v>
      </c>
      <c r="AA9" s="43" t="s">
        <v>215</v>
      </c>
      <c r="AB9" s="43" t="s">
        <v>215</v>
      </c>
      <c r="AC9" s="43" t="s">
        <v>215</v>
      </c>
      <c r="AD9" s="43" t="s">
        <v>228</v>
      </c>
      <c r="AE9" s="43" t="s">
        <v>228</v>
      </c>
      <c r="AF9" s="43" t="s">
        <v>228</v>
      </c>
      <c r="AG9" s="43" t="s">
        <v>215</v>
      </c>
      <c r="AH9" s="43" t="s">
        <v>215</v>
      </c>
      <c r="AI9" s="75"/>
      <c r="AJ9" s="47"/>
      <c r="AK9" s="46"/>
      <c r="AL9" s="54"/>
      <c r="AM9" s="41" t="s">
        <v>602</v>
      </c>
      <c r="AN9" s="41" t="s">
        <v>881</v>
      </c>
      <c r="AO9" s="47">
        <v>12.6</v>
      </c>
      <c r="AP9" s="47"/>
      <c r="AQ9" s="47"/>
      <c r="AR9" s="47"/>
      <c r="AS9" s="76" t="s">
        <v>331</v>
      </c>
      <c r="AT9" s="76" t="s">
        <v>331</v>
      </c>
      <c r="AU9" s="46"/>
      <c r="AV9" s="46"/>
      <c r="AW9" s="43"/>
      <c r="AX9" s="43"/>
      <c r="AY9" s="64"/>
      <c r="AZ9" s="41" t="s">
        <v>215</v>
      </c>
      <c r="BA9" s="47">
        <v>2.2999999999999998</v>
      </c>
      <c r="BB9" s="47"/>
      <c r="BC9" s="43" t="s">
        <v>339</v>
      </c>
      <c r="BD9" s="76" t="s">
        <v>347</v>
      </c>
      <c r="BE9" s="43" t="s">
        <v>862</v>
      </c>
      <c r="BF9" s="76" t="s">
        <v>215</v>
      </c>
      <c r="BG9" s="76" t="s">
        <v>248</v>
      </c>
      <c r="BH9" s="76" t="s">
        <v>215</v>
      </c>
      <c r="BI9" s="64"/>
      <c r="BJ9" s="43" t="s">
        <v>287</v>
      </c>
      <c r="BK9" s="41"/>
      <c r="BL9" s="42" t="s">
        <v>907</v>
      </c>
      <c r="BM9" s="42"/>
      <c r="BN9" s="42" t="s">
        <v>905</v>
      </c>
      <c r="BO9" s="42" t="s">
        <v>906</v>
      </c>
      <c r="BP9" s="42"/>
      <c r="BQ9" s="42" t="s">
        <v>854</v>
      </c>
      <c r="BR9" s="42" t="s">
        <v>389</v>
      </c>
      <c r="BS9" s="42"/>
    </row>
    <row r="10" spans="1:71" ht="11.25" customHeight="1" x14ac:dyDescent="0.2">
      <c r="A10" s="70">
        <v>2</v>
      </c>
      <c r="B10" s="46">
        <v>31</v>
      </c>
      <c r="C10" s="46"/>
      <c r="D10" s="39" t="s">
        <v>892</v>
      </c>
      <c r="E10" s="45">
        <v>10.400555555555556</v>
      </c>
      <c r="F10" s="45">
        <v>11.869722222222222</v>
      </c>
      <c r="G10" s="47"/>
      <c r="H10" s="43" t="s">
        <v>212</v>
      </c>
      <c r="I10" s="39"/>
      <c r="J10" s="43" t="s">
        <v>211</v>
      </c>
      <c r="K10" s="40">
        <v>294</v>
      </c>
      <c r="L10" s="40"/>
      <c r="M10" s="43" t="s">
        <v>216</v>
      </c>
      <c r="N10" s="43" t="s">
        <v>309</v>
      </c>
      <c r="O10" s="46">
        <v>31</v>
      </c>
      <c r="P10" s="46"/>
      <c r="Q10" s="43" t="s">
        <v>224</v>
      </c>
      <c r="R10" s="40">
        <v>231</v>
      </c>
      <c r="S10" s="40">
        <v>294</v>
      </c>
      <c r="T10" s="65"/>
      <c r="U10" s="39" t="s">
        <v>903</v>
      </c>
      <c r="V10" s="86"/>
      <c r="W10" s="43" t="s">
        <v>210</v>
      </c>
      <c r="X10" s="87"/>
      <c r="Y10" s="43" t="s">
        <v>215</v>
      </c>
      <c r="Z10" s="43" t="s">
        <v>215</v>
      </c>
      <c r="AA10" s="43" t="s">
        <v>215</v>
      </c>
      <c r="AB10" s="43" t="s">
        <v>215</v>
      </c>
      <c r="AC10" s="43" t="s">
        <v>215</v>
      </c>
      <c r="AD10" s="43" t="s">
        <v>228</v>
      </c>
      <c r="AE10" s="43" t="s">
        <v>228</v>
      </c>
      <c r="AF10" s="43" t="s">
        <v>228</v>
      </c>
      <c r="AG10" s="43" t="s">
        <v>215</v>
      </c>
      <c r="AH10" s="43" t="s">
        <v>215</v>
      </c>
      <c r="AI10" s="75"/>
      <c r="AJ10" s="47"/>
      <c r="AK10" s="46"/>
      <c r="AL10" s="54"/>
      <c r="AM10" s="41" t="s">
        <v>459</v>
      </c>
      <c r="AN10" s="41" t="s">
        <v>881</v>
      </c>
      <c r="AO10" s="47">
        <v>12.4</v>
      </c>
      <c r="AP10" s="47"/>
      <c r="AQ10" s="47"/>
      <c r="AR10" s="47"/>
      <c r="AS10" s="76" t="s">
        <v>331</v>
      </c>
      <c r="AT10" s="76" t="s">
        <v>331</v>
      </c>
      <c r="AU10" s="46"/>
      <c r="AV10" s="46"/>
      <c r="AW10" s="43"/>
      <c r="AX10" s="43"/>
      <c r="AY10" s="64"/>
      <c r="AZ10" s="41" t="s">
        <v>215</v>
      </c>
      <c r="BA10" s="47">
        <v>2.5</v>
      </c>
      <c r="BB10" s="47"/>
      <c r="BC10" s="43" t="s">
        <v>339</v>
      </c>
      <c r="BD10" s="76" t="s">
        <v>347</v>
      </c>
      <c r="BE10" s="43" t="s">
        <v>862</v>
      </c>
      <c r="BF10" s="76" t="s">
        <v>215</v>
      </c>
      <c r="BG10" s="76" t="s">
        <v>248</v>
      </c>
      <c r="BH10" s="76" t="s">
        <v>215</v>
      </c>
      <c r="BI10" s="64"/>
      <c r="BJ10" s="43" t="s">
        <v>287</v>
      </c>
      <c r="BK10" s="41"/>
      <c r="BL10" s="42" t="s">
        <v>907</v>
      </c>
      <c r="BM10" s="42"/>
      <c r="BN10" s="42" t="s">
        <v>905</v>
      </c>
      <c r="BO10" s="42" t="s">
        <v>906</v>
      </c>
      <c r="BP10" s="42"/>
      <c r="BQ10" s="42" t="s">
        <v>854</v>
      </c>
      <c r="BR10" s="42" t="s">
        <v>389</v>
      </c>
      <c r="BS10" s="42"/>
    </row>
    <row r="11" spans="1:71" ht="11.25" customHeight="1" x14ac:dyDescent="0.2">
      <c r="A11" s="70">
        <v>3</v>
      </c>
      <c r="B11" s="46">
        <v>31.6</v>
      </c>
      <c r="C11" s="46"/>
      <c r="D11" s="39" t="s">
        <v>893</v>
      </c>
      <c r="E11" s="45">
        <v>9.8386111111111116</v>
      </c>
      <c r="F11" s="45">
        <v>11.216944444444444</v>
      </c>
      <c r="G11" s="47"/>
      <c r="H11" s="43" t="s">
        <v>212</v>
      </c>
      <c r="I11" s="39"/>
      <c r="J11" s="43" t="s">
        <v>211</v>
      </c>
      <c r="K11" s="40">
        <v>277</v>
      </c>
      <c r="L11" s="40"/>
      <c r="M11" s="43" t="s">
        <v>840</v>
      </c>
      <c r="N11" s="43" t="s">
        <v>309</v>
      </c>
      <c r="O11" s="46">
        <v>31.6</v>
      </c>
      <c r="P11" s="46"/>
      <c r="Q11" s="43" t="s">
        <v>224</v>
      </c>
      <c r="R11" s="40">
        <v>229</v>
      </c>
      <c r="S11" s="40">
        <v>277</v>
      </c>
      <c r="T11" s="65"/>
      <c r="U11" s="39" t="s">
        <v>903</v>
      </c>
      <c r="V11" s="86"/>
      <c r="W11" s="43" t="s">
        <v>210</v>
      </c>
      <c r="X11" s="87"/>
      <c r="Y11" s="43" t="s">
        <v>215</v>
      </c>
      <c r="Z11" s="43" t="s">
        <v>215</v>
      </c>
      <c r="AA11" s="43" t="s">
        <v>215</v>
      </c>
      <c r="AB11" s="43" t="s">
        <v>215</v>
      </c>
      <c r="AC11" s="43" t="s">
        <v>215</v>
      </c>
      <c r="AD11" s="43" t="s">
        <v>228</v>
      </c>
      <c r="AE11" s="43" t="s">
        <v>228</v>
      </c>
      <c r="AF11" s="43" t="s">
        <v>228</v>
      </c>
      <c r="AG11" s="43" t="s">
        <v>215</v>
      </c>
      <c r="AH11" s="43" t="s">
        <v>215</v>
      </c>
      <c r="AI11" s="75"/>
      <c r="AJ11" s="47"/>
      <c r="AK11" s="46"/>
      <c r="AL11" s="54"/>
      <c r="AM11" s="41" t="s">
        <v>515</v>
      </c>
      <c r="AN11" s="41" t="s">
        <v>881</v>
      </c>
      <c r="AO11" s="47">
        <v>11.3</v>
      </c>
      <c r="AP11" s="47"/>
      <c r="AQ11" s="47"/>
      <c r="AR11" s="47"/>
      <c r="AS11" s="76" t="s">
        <v>331</v>
      </c>
      <c r="AT11" s="76" t="s">
        <v>331</v>
      </c>
      <c r="AU11" s="46"/>
      <c r="AV11" s="46"/>
      <c r="AW11" s="43"/>
      <c r="AX11" s="43"/>
      <c r="AY11" s="64"/>
      <c r="AZ11" s="41" t="s">
        <v>215</v>
      </c>
      <c r="BA11" s="47">
        <v>2.8</v>
      </c>
      <c r="BB11" s="47"/>
      <c r="BC11" s="43" t="s">
        <v>339</v>
      </c>
      <c r="BD11" s="76" t="s">
        <v>347</v>
      </c>
      <c r="BE11" s="43" t="s">
        <v>862</v>
      </c>
      <c r="BF11" s="76" t="s">
        <v>215</v>
      </c>
      <c r="BG11" s="76" t="s">
        <v>248</v>
      </c>
      <c r="BH11" s="76" t="s">
        <v>215</v>
      </c>
      <c r="BI11" s="64"/>
      <c r="BJ11" s="43" t="s">
        <v>287</v>
      </c>
      <c r="BK11" s="41"/>
      <c r="BL11" s="42" t="s">
        <v>907</v>
      </c>
      <c r="BM11" s="42"/>
      <c r="BN11" s="42" t="s">
        <v>905</v>
      </c>
      <c r="BO11" s="42" t="s">
        <v>906</v>
      </c>
      <c r="BP11" s="42"/>
      <c r="BQ11" s="42" t="s">
        <v>854</v>
      </c>
      <c r="BR11" s="42" t="s">
        <v>389</v>
      </c>
      <c r="BS11" s="42"/>
    </row>
    <row r="12" spans="1:71" ht="11.25" customHeight="1" x14ac:dyDescent="0.2">
      <c r="A12" s="70">
        <v>4</v>
      </c>
      <c r="B12" s="46">
        <v>41.4</v>
      </c>
      <c r="C12" s="46"/>
      <c r="D12" s="39" t="s">
        <v>894</v>
      </c>
      <c r="E12" s="45">
        <v>300</v>
      </c>
      <c r="F12" s="45">
        <v>11.310277777777779</v>
      </c>
      <c r="G12" s="47"/>
      <c r="H12" s="43" t="s">
        <v>212</v>
      </c>
      <c r="I12" s="39"/>
      <c r="J12" s="43" t="s">
        <v>211</v>
      </c>
      <c r="K12" s="40">
        <v>344</v>
      </c>
      <c r="L12" s="40"/>
      <c r="M12" s="43" t="s">
        <v>216</v>
      </c>
      <c r="N12" s="43" t="s">
        <v>309</v>
      </c>
      <c r="O12" s="46">
        <v>41.4</v>
      </c>
      <c r="P12" s="46"/>
      <c r="Q12" s="43" t="s">
        <v>224</v>
      </c>
      <c r="R12" s="40">
        <v>276</v>
      </c>
      <c r="S12" s="40">
        <v>344</v>
      </c>
      <c r="T12" s="65"/>
      <c r="U12" s="39" t="s">
        <v>903</v>
      </c>
      <c r="V12" s="86"/>
      <c r="W12" s="43" t="s">
        <v>210</v>
      </c>
      <c r="X12" s="87"/>
      <c r="Y12" s="43" t="s">
        <v>215</v>
      </c>
      <c r="Z12" s="43" t="s">
        <v>215</v>
      </c>
      <c r="AA12" s="43" t="s">
        <v>215</v>
      </c>
      <c r="AB12" s="43" t="s">
        <v>215</v>
      </c>
      <c r="AC12" s="43" t="s">
        <v>215</v>
      </c>
      <c r="AD12" s="43" t="s">
        <v>228</v>
      </c>
      <c r="AE12" s="43" t="s">
        <v>228</v>
      </c>
      <c r="AF12" s="43" t="s">
        <v>228</v>
      </c>
      <c r="AG12" s="43" t="s">
        <v>215</v>
      </c>
      <c r="AH12" s="43" t="s">
        <v>215</v>
      </c>
      <c r="AI12" s="75"/>
      <c r="AJ12" s="47"/>
      <c r="AK12" s="46"/>
      <c r="AL12" s="54"/>
      <c r="AM12" s="41" t="s">
        <v>515</v>
      </c>
      <c r="AN12" s="41" t="s">
        <v>881</v>
      </c>
      <c r="AO12" s="47">
        <v>14.8</v>
      </c>
      <c r="AP12" s="47"/>
      <c r="AQ12" s="47"/>
      <c r="AR12" s="47"/>
      <c r="AS12" s="76" t="s">
        <v>331</v>
      </c>
      <c r="AT12" s="76" t="s">
        <v>331</v>
      </c>
      <c r="AU12" s="46"/>
      <c r="AV12" s="46"/>
      <c r="AW12" s="43"/>
      <c r="AX12" s="43"/>
      <c r="AY12" s="64"/>
      <c r="AZ12" s="41" t="s">
        <v>215</v>
      </c>
      <c r="BA12" s="47">
        <v>2.8</v>
      </c>
      <c r="BB12" s="47"/>
      <c r="BC12" s="43" t="s">
        <v>339</v>
      </c>
      <c r="BD12" s="76" t="s">
        <v>347</v>
      </c>
      <c r="BE12" s="43" t="s">
        <v>862</v>
      </c>
      <c r="BF12" s="76" t="s">
        <v>215</v>
      </c>
      <c r="BG12" s="76" t="s">
        <v>248</v>
      </c>
      <c r="BH12" s="76" t="s">
        <v>215</v>
      </c>
      <c r="BI12" s="64"/>
      <c r="BJ12" s="43" t="s">
        <v>287</v>
      </c>
      <c r="BK12" s="41"/>
      <c r="BL12" s="42" t="s">
        <v>907</v>
      </c>
      <c r="BM12" s="42"/>
      <c r="BN12" s="42" t="s">
        <v>905</v>
      </c>
      <c r="BO12" s="42" t="s">
        <v>906</v>
      </c>
      <c r="BP12" s="42"/>
      <c r="BQ12" s="42" t="s">
        <v>854</v>
      </c>
      <c r="BR12" s="42" t="s">
        <v>389</v>
      </c>
      <c r="BS12" s="42"/>
    </row>
    <row r="13" spans="1:71" ht="11.25" customHeight="1" x14ac:dyDescent="0.2">
      <c r="A13" s="70">
        <v>5</v>
      </c>
      <c r="B13" s="46">
        <v>50.1</v>
      </c>
      <c r="C13" s="46"/>
      <c r="D13" s="39" t="s">
        <v>895</v>
      </c>
      <c r="E13" s="45">
        <v>9.9208333333333325</v>
      </c>
      <c r="F13" s="45">
        <v>11.325833333333334</v>
      </c>
      <c r="G13" s="47"/>
      <c r="H13" s="43" t="s">
        <v>212</v>
      </c>
      <c r="I13" s="39"/>
      <c r="J13" s="43" t="s">
        <v>211</v>
      </c>
      <c r="K13" s="40">
        <v>402</v>
      </c>
      <c r="L13" s="40"/>
      <c r="M13" s="43" t="s">
        <v>216</v>
      </c>
      <c r="N13" s="43" t="s">
        <v>309</v>
      </c>
      <c r="O13" s="46">
        <v>50.1</v>
      </c>
      <c r="P13" s="46"/>
      <c r="Q13" s="43" t="s">
        <v>224</v>
      </c>
      <c r="R13" s="40">
        <v>318</v>
      </c>
      <c r="S13" s="40">
        <v>402</v>
      </c>
      <c r="T13" s="65"/>
      <c r="U13" s="39" t="s">
        <v>903</v>
      </c>
      <c r="V13" s="86"/>
      <c r="W13" s="43" t="s">
        <v>210</v>
      </c>
      <c r="X13" s="87"/>
      <c r="Y13" s="43" t="s">
        <v>215</v>
      </c>
      <c r="Z13" s="43" t="s">
        <v>215</v>
      </c>
      <c r="AA13" s="43" t="s">
        <v>215</v>
      </c>
      <c r="AB13" s="43" t="s">
        <v>215</v>
      </c>
      <c r="AC13" s="43" t="s">
        <v>215</v>
      </c>
      <c r="AD13" s="43" t="s">
        <v>228</v>
      </c>
      <c r="AE13" s="43" t="s">
        <v>228</v>
      </c>
      <c r="AF13" s="43" t="s">
        <v>228</v>
      </c>
      <c r="AG13" s="43" t="s">
        <v>215</v>
      </c>
      <c r="AH13" s="43" t="s">
        <v>215</v>
      </c>
      <c r="AI13" s="75"/>
      <c r="AJ13" s="47"/>
      <c r="AK13" s="46"/>
      <c r="AL13" s="54"/>
      <c r="AM13" s="41" t="s">
        <v>513</v>
      </c>
      <c r="AN13" s="41" t="s">
        <v>881</v>
      </c>
      <c r="AO13" s="47">
        <v>17.3</v>
      </c>
      <c r="AP13" s="47"/>
      <c r="AQ13" s="47"/>
      <c r="AR13" s="47"/>
      <c r="AS13" s="76" t="s">
        <v>331</v>
      </c>
      <c r="AT13" s="76" t="s">
        <v>331</v>
      </c>
      <c r="AU13" s="46"/>
      <c r="AV13" s="46"/>
      <c r="AW13" s="43"/>
      <c r="AX13" s="43"/>
      <c r="AY13" s="64"/>
      <c r="AZ13" s="41" t="s">
        <v>215</v>
      </c>
      <c r="BA13" s="47">
        <v>2.9</v>
      </c>
      <c r="BB13" s="47"/>
      <c r="BC13" s="43" t="s">
        <v>339</v>
      </c>
      <c r="BD13" s="76" t="s">
        <v>347</v>
      </c>
      <c r="BE13" s="43" t="s">
        <v>862</v>
      </c>
      <c r="BF13" s="76" t="s">
        <v>215</v>
      </c>
      <c r="BG13" s="76" t="s">
        <v>248</v>
      </c>
      <c r="BH13" s="76" t="s">
        <v>215</v>
      </c>
      <c r="BI13" s="64"/>
      <c r="BJ13" s="43" t="s">
        <v>287</v>
      </c>
      <c r="BK13" s="41"/>
      <c r="BL13" s="42" t="s">
        <v>907</v>
      </c>
      <c r="BM13" s="42"/>
      <c r="BN13" s="42" t="s">
        <v>905</v>
      </c>
      <c r="BO13" s="42" t="s">
        <v>906</v>
      </c>
      <c r="BP13" s="42"/>
      <c r="BQ13" s="42" t="s">
        <v>854</v>
      </c>
      <c r="BR13" s="42" t="s">
        <v>389</v>
      </c>
      <c r="BS13" s="42"/>
    </row>
    <row r="14" spans="1:71" ht="11.25" customHeight="1" x14ac:dyDescent="0.2">
      <c r="A14" s="70">
        <v>6</v>
      </c>
      <c r="B14" s="46">
        <v>54</v>
      </c>
      <c r="C14" s="46"/>
      <c r="D14" s="39" t="s">
        <v>896</v>
      </c>
      <c r="E14" s="45">
        <v>9.9574999999999996</v>
      </c>
      <c r="F14" s="45">
        <v>11.389444444444443</v>
      </c>
      <c r="G14" s="47"/>
      <c r="H14" s="43" t="s">
        <v>212</v>
      </c>
      <c r="I14" s="39"/>
      <c r="J14" s="43" t="s">
        <v>211</v>
      </c>
      <c r="K14" s="40">
        <v>409</v>
      </c>
      <c r="L14" s="40"/>
      <c r="M14" s="43" t="s">
        <v>216</v>
      </c>
      <c r="N14" s="43" t="s">
        <v>309</v>
      </c>
      <c r="O14" s="46">
        <v>54</v>
      </c>
      <c r="P14" s="46"/>
      <c r="Q14" s="43" t="s">
        <v>224</v>
      </c>
      <c r="R14" s="40">
        <v>267</v>
      </c>
      <c r="S14" s="40">
        <v>409</v>
      </c>
      <c r="T14" s="65"/>
      <c r="U14" s="39" t="s">
        <v>903</v>
      </c>
      <c r="V14" s="86"/>
      <c r="W14" s="43" t="s">
        <v>210</v>
      </c>
      <c r="X14" s="39"/>
      <c r="Y14" s="43" t="s">
        <v>215</v>
      </c>
      <c r="Z14" s="43" t="s">
        <v>215</v>
      </c>
      <c r="AA14" s="43" t="s">
        <v>215</v>
      </c>
      <c r="AB14" s="43" t="s">
        <v>215</v>
      </c>
      <c r="AC14" s="43" t="s">
        <v>215</v>
      </c>
      <c r="AD14" s="43" t="s">
        <v>228</v>
      </c>
      <c r="AE14" s="43" t="s">
        <v>228</v>
      </c>
      <c r="AF14" s="43" t="s">
        <v>228</v>
      </c>
      <c r="AG14" s="43" t="s">
        <v>215</v>
      </c>
      <c r="AH14" s="43" t="s">
        <v>215</v>
      </c>
      <c r="AI14" s="75"/>
      <c r="AJ14" s="47"/>
      <c r="AK14" s="46"/>
      <c r="AL14" s="54"/>
      <c r="AM14" s="41" t="s">
        <v>513</v>
      </c>
      <c r="AN14" s="41" t="s">
        <v>881</v>
      </c>
      <c r="AO14" s="47">
        <v>18</v>
      </c>
      <c r="AP14" s="47"/>
      <c r="AQ14" s="47"/>
      <c r="AR14" s="47"/>
      <c r="AS14" s="76" t="s">
        <v>331</v>
      </c>
      <c r="AT14" s="76" t="s">
        <v>331</v>
      </c>
      <c r="AU14" s="46"/>
      <c r="AV14" s="46"/>
      <c r="AW14" s="43"/>
      <c r="AX14" s="43"/>
      <c r="AY14" s="64"/>
      <c r="AZ14" s="41" t="s">
        <v>215</v>
      </c>
      <c r="BA14" s="47">
        <v>3</v>
      </c>
      <c r="BB14" s="47"/>
      <c r="BC14" s="43" t="s">
        <v>339</v>
      </c>
      <c r="BD14" s="76" t="s">
        <v>347</v>
      </c>
      <c r="BE14" s="43" t="s">
        <v>862</v>
      </c>
      <c r="BF14" s="76" t="s">
        <v>215</v>
      </c>
      <c r="BG14" s="76" t="s">
        <v>248</v>
      </c>
      <c r="BH14" s="76" t="s">
        <v>215</v>
      </c>
      <c r="BI14" s="64"/>
      <c r="BJ14" s="43" t="s">
        <v>287</v>
      </c>
      <c r="BK14" s="41"/>
      <c r="BL14" s="42" t="s">
        <v>907</v>
      </c>
      <c r="BM14" s="42"/>
      <c r="BN14" s="42" t="s">
        <v>905</v>
      </c>
      <c r="BO14" s="42" t="s">
        <v>906</v>
      </c>
      <c r="BP14" s="42"/>
      <c r="BQ14" s="42" t="s">
        <v>854</v>
      </c>
      <c r="BR14" s="42" t="s">
        <v>389</v>
      </c>
      <c r="BS14" s="42"/>
    </row>
    <row r="15" spans="1:71" ht="11.25" customHeight="1" x14ac:dyDescent="0.2">
      <c r="A15" s="70">
        <v>7</v>
      </c>
      <c r="B15" s="46">
        <v>56.1</v>
      </c>
      <c r="C15" s="46"/>
      <c r="D15" s="39" t="s">
        <v>897</v>
      </c>
      <c r="E15" s="45">
        <v>9.9711111111111119</v>
      </c>
      <c r="F15" s="45">
        <v>11.248055555555554</v>
      </c>
      <c r="G15" s="47"/>
      <c r="H15" s="43" t="s">
        <v>212</v>
      </c>
      <c r="I15" s="39"/>
      <c r="J15" s="43" t="s">
        <v>211</v>
      </c>
      <c r="K15" s="40">
        <v>580</v>
      </c>
      <c r="L15" s="40"/>
      <c r="M15" s="43" t="s">
        <v>216</v>
      </c>
      <c r="N15" s="43" t="s">
        <v>309</v>
      </c>
      <c r="O15" s="46">
        <v>56.1</v>
      </c>
      <c r="P15" s="46"/>
      <c r="Q15" s="43" t="s">
        <v>224</v>
      </c>
      <c r="R15" s="40">
        <v>322</v>
      </c>
      <c r="S15" s="40">
        <v>580</v>
      </c>
      <c r="T15" s="65"/>
      <c r="U15" s="39" t="s">
        <v>903</v>
      </c>
      <c r="V15" s="86"/>
      <c r="W15" s="43" t="s">
        <v>210</v>
      </c>
      <c r="X15" s="39"/>
      <c r="Y15" s="43" t="s">
        <v>215</v>
      </c>
      <c r="Z15" s="43" t="s">
        <v>215</v>
      </c>
      <c r="AA15" s="43" t="s">
        <v>215</v>
      </c>
      <c r="AB15" s="43" t="s">
        <v>215</v>
      </c>
      <c r="AC15" s="43" t="s">
        <v>215</v>
      </c>
      <c r="AD15" s="43" t="s">
        <v>228</v>
      </c>
      <c r="AE15" s="43" t="s">
        <v>228</v>
      </c>
      <c r="AF15" s="43" t="s">
        <v>228</v>
      </c>
      <c r="AG15" s="43" t="s">
        <v>215</v>
      </c>
      <c r="AH15" s="43" t="s">
        <v>215</v>
      </c>
      <c r="AI15" s="75"/>
      <c r="AJ15" s="47"/>
      <c r="AK15" s="46"/>
      <c r="AL15" s="54"/>
      <c r="AM15" s="41" t="s">
        <v>513</v>
      </c>
      <c r="AN15" s="41" t="s">
        <v>881</v>
      </c>
      <c r="AO15" s="47">
        <v>18.7</v>
      </c>
      <c r="AP15" s="47"/>
      <c r="AQ15" s="47"/>
      <c r="AR15" s="47"/>
      <c r="AS15" s="76" t="s">
        <v>331</v>
      </c>
      <c r="AT15" s="76" t="s">
        <v>331</v>
      </c>
      <c r="AU15" s="46"/>
      <c r="AV15" s="46"/>
      <c r="AW15" s="43"/>
      <c r="AX15" s="43"/>
      <c r="AY15" s="64"/>
      <c r="AZ15" s="41" t="s">
        <v>215</v>
      </c>
      <c r="BA15" s="47">
        <v>3</v>
      </c>
      <c r="BB15" s="47"/>
      <c r="BC15" s="43" t="s">
        <v>339</v>
      </c>
      <c r="BD15" s="76" t="s">
        <v>347</v>
      </c>
      <c r="BE15" s="43" t="s">
        <v>862</v>
      </c>
      <c r="BF15" s="76" t="s">
        <v>215</v>
      </c>
      <c r="BG15" s="76" t="s">
        <v>248</v>
      </c>
      <c r="BH15" s="76" t="s">
        <v>215</v>
      </c>
      <c r="BI15" s="64"/>
      <c r="BJ15" s="43" t="s">
        <v>287</v>
      </c>
      <c r="BK15" s="41"/>
      <c r="BL15" s="42" t="s">
        <v>907</v>
      </c>
      <c r="BM15" s="42"/>
      <c r="BN15" s="42" t="s">
        <v>905</v>
      </c>
      <c r="BO15" s="42" t="s">
        <v>906</v>
      </c>
      <c r="BP15" s="42"/>
      <c r="BQ15" s="42" t="s">
        <v>854</v>
      </c>
      <c r="BR15" s="42" t="s">
        <v>389</v>
      </c>
      <c r="BS15" s="42"/>
    </row>
    <row r="16" spans="1:71" ht="11.25" customHeight="1" x14ac:dyDescent="0.2">
      <c r="A16" s="70">
        <v>8</v>
      </c>
      <c r="B16" s="46">
        <v>58.2</v>
      </c>
      <c r="C16" s="46"/>
      <c r="D16" s="39" t="s">
        <v>898</v>
      </c>
      <c r="E16" s="45">
        <v>9.9761111111111109</v>
      </c>
      <c r="F16" s="45">
        <v>11.212222222222222</v>
      </c>
      <c r="G16" s="47"/>
      <c r="H16" s="43" t="s">
        <v>212</v>
      </c>
      <c r="I16" s="39"/>
      <c r="J16" s="43" t="s">
        <v>211</v>
      </c>
      <c r="K16" s="40">
        <v>628</v>
      </c>
      <c r="L16" s="40"/>
      <c r="M16" s="43" t="s">
        <v>216</v>
      </c>
      <c r="N16" s="43" t="s">
        <v>309</v>
      </c>
      <c r="O16" s="46">
        <v>58.2</v>
      </c>
      <c r="P16" s="46"/>
      <c r="Q16" s="43" t="s">
        <v>224</v>
      </c>
      <c r="R16" s="40">
        <v>444</v>
      </c>
      <c r="S16" s="40">
        <v>628</v>
      </c>
      <c r="T16" s="65"/>
      <c r="U16" s="39" t="s">
        <v>903</v>
      </c>
      <c r="V16" s="86"/>
      <c r="W16" s="43" t="s">
        <v>210</v>
      </c>
      <c r="X16" s="39"/>
      <c r="Y16" s="43" t="s">
        <v>215</v>
      </c>
      <c r="Z16" s="43" t="s">
        <v>215</v>
      </c>
      <c r="AA16" s="43" t="s">
        <v>215</v>
      </c>
      <c r="AB16" s="43" t="s">
        <v>215</v>
      </c>
      <c r="AC16" s="43" t="s">
        <v>215</v>
      </c>
      <c r="AD16" s="43" t="s">
        <v>228</v>
      </c>
      <c r="AE16" s="43" t="s">
        <v>228</v>
      </c>
      <c r="AF16" s="43" t="s">
        <v>228</v>
      </c>
      <c r="AG16" s="43" t="s">
        <v>215</v>
      </c>
      <c r="AH16" s="43" t="s">
        <v>215</v>
      </c>
      <c r="AI16" s="75"/>
      <c r="AJ16" s="47"/>
      <c r="AK16" s="46"/>
      <c r="AL16" s="54"/>
      <c r="AM16" s="41" t="s">
        <v>513</v>
      </c>
      <c r="AN16" s="41" t="s">
        <v>881</v>
      </c>
      <c r="AO16" s="47">
        <v>19.399999999999999</v>
      </c>
      <c r="AP16" s="47"/>
      <c r="AQ16" s="47"/>
      <c r="AR16" s="47"/>
      <c r="AS16" s="76" t="s">
        <v>331</v>
      </c>
      <c r="AT16" s="76" t="s">
        <v>331</v>
      </c>
      <c r="AU16" s="46"/>
      <c r="AV16" s="46"/>
      <c r="AW16" s="43"/>
      <c r="AX16" s="43"/>
      <c r="AY16" s="64"/>
      <c r="AZ16" s="41" t="s">
        <v>215</v>
      </c>
      <c r="BA16" s="47">
        <v>3</v>
      </c>
      <c r="BB16" s="47"/>
      <c r="BC16" s="43" t="s">
        <v>339</v>
      </c>
      <c r="BD16" s="76" t="s">
        <v>347</v>
      </c>
      <c r="BE16" s="43" t="s">
        <v>862</v>
      </c>
      <c r="BF16" s="76" t="s">
        <v>215</v>
      </c>
      <c r="BG16" s="76" t="s">
        <v>248</v>
      </c>
      <c r="BH16" s="76" t="s">
        <v>215</v>
      </c>
      <c r="BI16" s="64"/>
      <c r="BJ16" s="43" t="s">
        <v>287</v>
      </c>
      <c r="BK16" s="41"/>
      <c r="BL16" s="42" t="s">
        <v>907</v>
      </c>
      <c r="BM16" s="42"/>
      <c r="BN16" s="42" t="s">
        <v>905</v>
      </c>
      <c r="BO16" s="42" t="s">
        <v>906</v>
      </c>
      <c r="BP16" s="42"/>
      <c r="BQ16" s="42" t="s">
        <v>854</v>
      </c>
      <c r="BR16" s="42" t="s">
        <v>389</v>
      </c>
      <c r="BS16" s="42"/>
    </row>
    <row r="17" spans="1:71" ht="11.25" customHeight="1" x14ac:dyDescent="0.2">
      <c r="A17" s="70">
        <v>9</v>
      </c>
      <c r="B17" s="46">
        <v>46.3</v>
      </c>
      <c r="C17" s="46"/>
      <c r="D17" s="39" t="s">
        <v>899</v>
      </c>
      <c r="E17" s="45">
        <v>10.480277777777777</v>
      </c>
      <c r="F17" s="45">
        <v>11.984166666666665</v>
      </c>
      <c r="G17" s="47"/>
      <c r="H17" s="43" t="s">
        <v>212</v>
      </c>
      <c r="I17" s="39"/>
      <c r="J17" s="43" t="s">
        <v>211</v>
      </c>
      <c r="K17" s="40">
        <v>273</v>
      </c>
      <c r="L17" s="40"/>
      <c r="M17" s="43" t="s">
        <v>216</v>
      </c>
      <c r="N17" s="43" t="s">
        <v>309</v>
      </c>
      <c r="O17" s="46">
        <v>46.3</v>
      </c>
      <c r="P17" s="46"/>
      <c r="Q17" s="43" t="s">
        <v>224</v>
      </c>
      <c r="R17" s="40">
        <v>212</v>
      </c>
      <c r="S17" s="40">
        <v>273</v>
      </c>
      <c r="T17" s="65"/>
      <c r="U17" s="39" t="s">
        <v>903</v>
      </c>
      <c r="V17" s="86"/>
      <c r="W17" s="43" t="s">
        <v>210</v>
      </c>
      <c r="X17" s="39"/>
      <c r="Y17" s="43" t="s">
        <v>215</v>
      </c>
      <c r="Z17" s="43" t="s">
        <v>215</v>
      </c>
      <c r="AA17" s="43" t="s">
        <v>215</v>
      </c>
      <c r="AB17" s="43" t="s">
        <v>215</v>
      </c>
      <c r="AC17" s="43" t="s">
        <v>215</v>
      </c>
      <c r="AD17" s="43" t="s">
        <v>228</v>
      </c>
      <c r="AE17" s="43" t="s">
        <v>228</v>
      </c>
      <c r="AF17" s="43" t="s">
        <v>228</v>
      </c>
      <c r="AG17" s="43" t="s">
        <v>215</v>
      </c>
      <c r="AH17" s="43" t="s">
        <v>215</v>
      </c>
      <c r="AI17" s="75"/>
      <c r="AJ17" s="47"/>
      <c r="AK17" s="46"/>
      <c r="AL17" s="54"/>
      <c r="AM17" s="41" t="s">
        <v>513</v>
      </c>
      <c r="AN17" s="41" t="s">
        <v>881</v>
      </c>
      <c r="AO17" s="47">
        <v>20.100000000000001</v>
      </c>
      <c r="AP17" s="47"/>
      <c r="AQ17" s="47"/>
      <c r="AR17" s="47"/>
      <c r="AS17" s="76" t="s">
        <v>331</v>
      </c>
      <c r="AT17" s="76" t="s">
        <v>331</v>
      </c>
      <c r="AU17" s="46"/>
      <c r="AV17" s="46"/>
      <c r="AW17" s="43"/>
      <c r="AX17" s="43"/>
      <c r="AY17" s="64"/>
      <c r="AZ17" s="41" t="s">
        <v>215</v>
      </c>
      <c r="BA17" s="47">
        <v>2.2999999999999998</v>
      </c>
      <c r="BB17" s="47"/>
      <c r="BC17" s="43" t="s">
        <v>339</v>
      </c>
      <c r="BD17" s="76" t="s">
        <v>347</v>
      </c>
      <c r="BE17" s="43" t="s">
        <v>862</v>
      </c>
      <c r="BF17" s="76" t="s">
        <v>215</v>
      </c>
      <c r="BG17" s="76" t="s">
        <v>248</v>
      </c>
      <c r="BH17" s="76" t="s">
        <v>215</v>
      </c>
      <c r="BI17" s="64"/>
      <c r="BJ17" s="43" t="s">
        <v>287</v>
      </c>
      <c r="BK17" s="41"/>
      <c r="BL17" s="42" t="s">
        <v>907</v>
      </c>
      <c r="BM17" s="42"/>
      <c r="BN17" s="42" t="s">
        <v>905</v>
      </c>
      <c r="BO17" s="42" t="s">
        <v>906</v>
      </c>
      <c r="BP17" s="42"/>
      <c r="BQ17" s="42" t="s">
        <v>854</v>
      </c>
      <c r="BR17" s="42" t="s">
        <v>389</v>
      </c>
      <c r="BS17" s="42"/>
    </row>
    <row r="18" spans="1:71" ht="11.25" customHeight="1" x14ac:dyDescent="0.2">
      <c r="A18" s="70">
        <v>10</v>
      </c>
      <c r="B18" s="46">
        <v>50.6</v>
      </c>
      <c r="C18" s="46"/>
      <c r="D18" s="39" t="s">
        <v>900</v>
      </c>
      <c r="E18" s="45">
        <v>10.486388888888888</v>
      </c>
      <c r="F18" s="45">
        <v>11.985277777777776</v>
      </c>
      <c r="G18" s="47"/>
      <c r="H18" s="43" t="s">
        <v>212</v>
      </c>
      <c r="I18" s="39"/>
      <c r="J18" s="43" t="s">
        <v>211</v>
      </c>
      <c r="K18" s="40">
        <v>284</v>
      </c>
      <c r="L18" s="40"/>
      <c r="M18" s="43" t="s">
        <v>216</v>
      </c>
      <c r="N18" s="43" t="s">
        <v>309</v>
      </c>
      <c r="O18" s="46">
        <v>50.6</v>
      </c>
      <c r="P18" s="46"/>
      <c r="Q18" s="43" t="s">
        <v>224</v>
      </c>
      <c r="R18" s="40">
        <v>255</v>
      </c>
      <c r="S18" s="40">
        <v>284</v>
      </c>
      <c r="T18" s="65"/>
      <c r="U18" s="39" t="s">
        <v>903</v>
      </c>
      <c r="V18" s="39"/>
      <c r="W18" s="43" t="s">
        <v>210</v>
      </c>
      <c r="X18" s="39"/>
      <c r="Y18" s="43" t="s">
        <v>215</v>
      </c>
      <c r="Z18" s="43" t="s">
        <v>215</v>
      </c>
      <c r="AA18" s="43" t="s">
        <v>215</v>
      </c>
      <c r="AB18" s="43" t="s">
        <v>215</v>
      </c>
      <c r="AC18" s="43" t="s">
        <v>215</v>
      </c>
      <c r="AD18" s="43" t="s">
        <v>228</v>
      </c>
      <c r="AE18" s="43" t="s">
        <v>228</v>
      </c>
      <c r="AF18" s="43" t="s">
        <v>228</v>
      </c>
      <c r="AG18" s="43" t="s">
        <v>215</v>
      </c>
      <c r="AH18" s="43" t="s">
        <v>215</v>
      </c>
      <c r="AI18" s="75"/>
      <c r="AJ18" s="47"/>
      <c r="AK18" s="46"/>
      <c r="AL18" s="54"/>
      <c r="AM18" s="41" t="s">
        <v>513</v>
      </c>
      <c r="AN18" s="41" t="s">
        <v>881</v>
      </c>
      <c r="AO18" s="47">
        <v>22</v>
      </c>
      <c r="AP18" s="47"/>
      <c r="AQ18" s="47"/>
      <c r="AR18" s="47"/>
      <c r="AS18" s="76" t="s">
        <v>331</v>
      </c>
      <c r="AT18" s="76" t="s">
        <v>331</v>
      </c>
      <c r="AU18" s="46"/>
      <c r="AV18" s="46"/>
      <c r="AW18" s="43"/>
      <c r="AX18" s="43"/>
      <c r="AY18" s="64"/>
      <c r="AZ18" s="41" t="s">
        <v>215</v>
      </c>
      <c r="BA18" s="47">
        <v>2.2999999999999998</v>
      </c>
      <c r="BB18" s="47"/>
      <c r="BC18" s="43" t="s">
        <v>339</v>
      </c>
      <c r="BD18" s="76" t="s">
        <v>347</v>
      </c>
      <c r="BE18" s="43" t="s">
        <v>862</v>
      </c>
      <c r="BF18" s="76" t="s">
        <v>215</v>
      </c>
      <c r="BG18" s="76" t="s">
        <v>248</v>
      </c>
      <c r="BH18" s="76" t="s">
        <v>215</v>
      </c>
      <c r="BI18" s="64"/>
      <c r="BJ18" s="43" t="s">
        <v>287</v>
      </c>
      <c r="BK18" s="41"/>
      <c r="BL18" s="42" t="s">
        <v>907</v>
      </c>
      <c r="BM18" s="42"/>
      <c r="BN18" s="42" t="s">
        <v>905</v>
      </c>
      <c r="BO18" s="42" t="s">
        <v>906</v>
      </c>
      <c r="BP18" s="42"/>
      <c r="BQ18" s="42" t="s">
        <v>854</v>
      </c>
      <c r="BR18" s="42" t="s">
        <v>389</v>
      </c>
      <c r="BS18" s="42"/>
    </row>
    <row r="19" spans="1:71" ht="11.25" customHeight="1" x14ac:dyDescent="0.2">
      <c r="A19" s="70">
        <v>11</v>
      </c>
      <c r="B19" s="46">
        <v>40.5</v>
      </c>
      <c r="C19" s="46"/>
      <c r="D19" s="39" t="s">
        <v>901</v>
      </c>
      <c r="E19" s="45">
        <v>10.295555555555556</v>
      </c>
      <c r="F19" s="45">
        <v>11.836388888888889</v>
      </c>
      <c r="G19" s="47"/>
      <c r="H19" s="43" t="s">
        <v>212</v>
      </c>
      <c r="I19" s="39"/>
      <c r="J19" s="43" t="s">
        <v>211</v>
      </c>
      <c r="K19" s="40">
        <v>308</v>
      </c>
      <c r="L19" s="40"/>
      <c r="M19" s="43" t="s">
        <v>216</v>
      </c>
      <c r="N19" s="43" t="s">
        <v>309</v>
      </c>
      <c r="O19" s="46">
        <v>40.5</v>
      </c>
      <c r="P19" s="46"/>
      <c r="Q19" s="43" t="s">
        <v>224</v>
      </c>
      <c r="R19" s="40">
        <v>277</v>
      </c>
      <c r="S19" s="40">
        <v>308</v>
      </c>
      <c r="T19" s="65"/>
      <c r="U19" s="39" t="s">
        <v>903</v>
      </c>
      <c r="V19" s="39"/>
      <c r="W19" s="43" t="s">
        <v>210</v>
      </c>
      <c r="X19" s="39"/>
      <c r="Y19" s="43" t="s">
        <v>215</v>
      </c>
      <c r="Z19" s="43" t="s">
        <v>215</v>
      </c>
      <c r="AA19" s="43" t="s">
        <v>215</v>
      </c>
      <c r="AB19" s="43" t="s">
        <v>215</v>
      </c>
      <c r="AC19" s="43" t="s">
        <v>215</v>
      </c>
      <c r="AD19" s="43" t="s">
        <v>228</v>
      </c>
      <c r="AE19" s="43" t="s">
        <v>228</v>
      </c>
      <c r="AF19" s="43" t="s">
        <v>228</v>
      </c>
      <c r="AG19" s="43" t="s">
        <v>215</v>
      </c>
      <c r="AH19" s="43" t="s">
        <v>215</v>
      </c>
      <c r="AI19" s="75"/>
      <c r="AJ19" s="47"/>
      <c r="AK19" s="46"/>
      <c r="AL19" s="54"/>
      <c r="AM19" s="41" t="s">
        <v>459</v>
      </c>
      <c r="AN19" s="41" t="s">
        <v>881</v>
      </c>
      <c r="AO19" s="47">
        <v>16.2</v>
      </c>
      <c r="AP19" s="47"/>
      <c r="AQ19" s="47"/>
      <c r="AR19" s="47"/>
      <c r="AS19" s="76" t="s">
        <v>331</v>
      </c>
      <c r="AT19" s="76" t="s">
        <v>331</v>
      </c>
      <c r="AU19" s="46"/>
      <c r="AV19" s="46"/>
      <c r="AW19" s="43"/>
      <c r="AX19" s="43"/>
      <c r="AY19" s="64"/>
      <c r="AZ19" s="41" t="s">
        <v>215</v>
      </c>
      <c r="BA19" s="47">
        <v>2.5</v>
      </c>
      <c r="BB19" s="47"/>
      <c r="BC19" s="43" t="s">
        <v>339</v>
      </c>
      <c r="BD19" s="76" t="s">
        <v>347</v>
      </c>
      <c r="BE19" s="43" t="s">
        <v>862</v>
      </c>
      <c r="BF19" s="76" t="s">
        <v>215</v>
      </c>
      <c r="BG19" s="76" t="s">
        <v>248</v>
      </c>
      <c r="BH19" s="76" t="s">
        <v>215</v>
      </c>
      <c r="BI19" s="64"/>
      <c r="BJ19" s="43" t="s">
        <v>287</v>
      </c>
      <c r="BK19" s="41"/>
      <c r="BL19" s="42" t="s">
        <v>907</v>
      </c>
      <c r="BM19" s="42"/>
      <c r="BN19" s="42" t="s">
        <v>905</v>
      </c>
      <c r="BO19" s="42" t="s">
        <v>906</v>
      </c>
      <c r="BP19" s="42"/>
      <c r="BQ19" s="42" t="s">
        <v>854</v>
      </c>
      <c r="BR19" s="42" t="s">
        <v>389</v>
      </c>
      <c r="BS19" s="42"/>
    </row>
    <row r="20" spans="1:71" ht="11.25" customHeight="1" x14ac:dyDescent="0.2">
      <c r="A20" s="70">
        <v>12</v>
      </c>
      <c r="B20" s="46">
        <v>51.2</v>
      </c>
      <c r="C20" s="46"/>
      <c r="D20" s="39" t="s">
        <v>902</v>
      </c>
      <c r="E20" s="45">
        <v>10.311944444444444</v>
      </c>
      <c r="F20" s="45">
        <v>11.933611111111111</v>
      </c>
      <c r="G20" s="47"/>
      <c r="H20" s="43" t="s">
        <v>212</v>
      </c>
      <c r="I20" s="39"/>
      <c r="J20" s="43" t="s">
        <v>211</v>
      </c>
      <c r="K20" s="40">
        <v>584</v>
      </c>
      <c r="L20" s="40"/>
      <c r="M20" s="43" t="s">
        <v>216</v>
      </c>
      <c r="N20" s="43" t="s">
        <v>309</v>
      </c>
      <c r="O20" s="46">
        <v>51.2</v>
      </c>
      <c r="P20" s="46"/>
      <c r="Q20" s="43" t="s">
        <v>224</v>
      </c>
      <c r="R20" s="40">
        <v>311</v>
      </c>
      <c r="S20" s="40">
        <v>584</v>
      </c>
      <c r="T20" s="65"/>
      <c r="U20" s="39" t="s">
        <v>903</v>
      </c>
      <c r="V20" s="39"/>
      <c r="W20" s="43" t="s">
        <v>210</v>
      </c>
      <c r="X20" s="39"/>
      <c r="Y20" s="43" t="s">
        <v>215</v>
      </c>
      <c r="Z20" s="43" t="s">
        <v>215</v>
      </c>
      <c r="AA20" s="43" t="s">
        <v>215</v>
      </c>
      <c r="AB20" s="43" t="s">
        <v>215</v>
      </c>
      <c r="AC20" s="43" t="s">
        <v>215</v>
      </c>
      <c r="AD20" s="43" t="s">
        <v>228</v>
      </c>
      <c r="AE20" s="43" t="s">
        <v>228</v>
      </c>
      <c r="AF20" s="43" t="s">
        <v>228</v>
      </c>
      <c r="AG20" s="43" t="s">
        <v>215</v>
      </c>
      <c r="AH20" s="43" t="s">
        <v>215</v>
      </c>
      <c r="AI20" s="75"/>
      <c r="AJ20" s="47"/>
      <c r="AK20" s="46"/>
      <c r="AL20" s="54"/>
      <c r="AM20" s="41" t="s">
        <v>904</v>
      </c>
      <c r="AN20" s="41" t="s">
        <v>881</v>
      </c>
      <c r="AO20" s="47">
        <v>19.7</v>
      </c>
      <c r="AP20" s="47"/>
      <c r="AQ20" s="47"/>
      <c r="AR20" s="47"/>
      <c r="AS20" s="76" t="s">
        <v>331</v>
      </c>
      <c r="AT20" s="76" t="s">
        <v>331</v>
      </c>
      <c r="AU20" s="46"/>
      <c r="AV20" s="46"/>
      <c r="AW20" s="43"/>
      <c r="AX20" s="43"/>
      <c r="AY20" s="64"/>
      <c r="AZ20" s="41" t="s">
        <v>215</v>
      </c>
      <c r="BA20" s="47">
        <v>2.6</v>
      </c>
      <c r="BB20" s="47"/>
      <c r="BC20" s="43" t="s">
        <v>339</v>
      </c>
      <c r="BD20" s="76" t="s">
        <v>347</v>
      </c>
      <c r="BE20" s="43" t="s">
        <v>862</v>
      </c>
      <c r="BF20" s="76" t="s">
        <v>215</v>
      </c>
      <c r="BG20" s="76" t="s">
        <v>248</v>
      </c>
      <c r="BH20" s="76" t="s">
        <v>215</v>
      </c>
      <c r="BI20" s="64"/>
      <c r="BJ20" s="43" t="s">
        <v>287</v>
      </c>
      <c r="BK20" s="41"/>
      <c r="BL20" s="42" t="s">
        <v>907</v>
      </c>
      <c r="BM20" s="42"/>
      <c r="BN20" s="42" t="s">
        <v>905</v>
      </c>
      <c r="BO20" s="42" t="s">
        <v>906</v>
      </c>
      <c r="BP20" s="42"/>
      <c r="BQ20" s="42" t="s">
        <v>854</v>
      </c>
      <c r="BR20" s="42" t="s">
        <v>389</v>
      </c>
      <c r="BS20" s="42"/>
    </row>
  </sheetData>
  <dataConsolidate/>
  <phoneticPr fontId="5" type="noConversion"/>
  <dataValidations xWindow="1357" yWindow="780" count="49">
    <dataValidation allowBlank="1" showInputMessage="1" showErrorMessage="1" prompt="The elevation of a geographic location is its height above or below mean sea level. Caution: different national reference systems are used. Also the reference level may be diverse depending on the study (drilling, lake, marine…). " sqref="G8" xr:uid="{00000000-0002-0000-0100-000000000000}"/>
    <dataValidation allowBlank="1" showInputMessage="1" showErrorMessage="1" prompt="Longitude (long) is a geographic coordinate that specifies the east–west position. The Prime Meridian in Greenwich, England, is defined as 0° longitude. Positive longitudes are east of the Prime Meridian, and negative ones are west." sqref="F8" xr:uid="{00000000-0002-0000-0100-000001000000}"/>
    <dataValidation allowBlank="1" showInputMessage="1" showErrorMessage="1" prompt="Latitude (lat) is a geographic coordinate that specifies the North-South position. The Equator has a latitude of 0°, the North Pole has a latitude of 90° North (written +90), and the South Pole has a latitude of 90° South (written −90). " sqref="E8" xr:uid="{00000000-0002-0000-0100-000002000000}"/>
    <dataValidation allowBlank="1" showInputMessage="1" showErrorMessage="1" prompt="Specification of the (local) name of the related heat-flow site or the related survey. Should be consistent with the publication." sqref="D8" xr:uid="{00000000-0002-0000-0100-000003000000}"/>
    <dataValidation allowBlank="1" showInputMessage="1" showErrorMessage="1" prompt=" Uncertainty (one standard deviation) of the heat-flow value [q]" sqref="C8" xr:uid="{00000000-0002-0000-0100-000004000000}"/>
    <dataValidation allowBlank="1" showInputMessage="1" showErrorMessage="1" prompt="Heat-flow density (q) for the location after all corrections for instrumental and environmental effects." sqref="B8" xr:uid="{00000000-0002-0000-0100-000005000000}"/>
    <dataValidation allowBlank="1" showInputMessage="1" showErrorMessage="1" prompt="Comments on the reported heat-flow location value." sqref="I8" xr:uid="{00000000-0002-0000-0100-000006000000}"/>
    <dataValidation allowBlank="1" showInputMessage="1" showErrorMessage="1" prompt="Surface/Seafloor temperature where the surface heat flow value (q) is taken. e.g. PT 100 or Mudline temperature for ocean drilling data. Mean surface temperature for boreholes." sqref="AL8" xr:uid="{00000000-0002-0000-0100-000007000000}"/>
    <dataValidation allowBlank="1" showInputMessage="1" showErrorMessage="1" prompt="Seafloor temperature where surface heat-flow value (q) is taken. e.g. PT 100 or Mudline temperature for ocean drilling data." sqref="AL8" xr:uid="{00000000-0002-0000-0100-000008000000}"/>
    <dataValidation allowBlank="1" showInputMessage="1" showErrorMessage="1" prompt="Main purpose of the reconnaissance target providing access for the temperature sensors." sqref="AL8" xr:uid="{00000000-0002-0000-0100-000009000000}"/>
    <dataValidation allowBlank="1" showInputMessage="1" showErrorMessage="1" prompt="Uncertainty (one standard deviation) of the heat-flow value [qc] estimated by an error propagation from uncertainty in thermal_x000a_conductivity and temperature gradient or deviation from the linear regression of the Bullard plot." sqref="P8" xr:uid="{00000000-0002-0000-0100-00000A000000}"/>
    <dataValidation allowBlank="1" showInputMessage="1" showErrorMessage="1" prompt="Describes the true vertical depth (TVD) of the bottom end of the heat-flow determination interval relative to the land surface." sqref="S8" xr:uid="{00000000-0002-0000-0100-00000B000000}"/>
    <dataValidation allowBlank="1" showInputMessage="1" showErrorMessage="1" prompt="Penetration depth of marine probe into the sediment." sqref="T8" xr:uid="{00000000-0002-0000-0100-00000C000000}"/>
    <dataValidation allowBlank="1" showInputMessage="1" showErrorMessage="1" prompt="References of primary publication related to the respective heat-flow entry." sqref="U8" xr:uid="{00000000-0002-0000-0100-00000D000000}"/>
    <dataValidation type="list" allowBlank="1" showInputMessage="1" showErrorMessage="1" prompt="Specifies whether the child entry is used for computation of representative location heat-flow values at the parent level or not. " sqref="X8" xr:uid="{00000000-0002-0000-0100-00000E000000}">
      <formula1>"Yes, No"</formula1>
    </dataValidation>
    <dataValidation allowBlank="1" showInputMessage="1" showErrorMessage="1" prompt="Length of marine heat-flow probe." sqref="AJ8 AL8" xr:uid="{00000000-0002-0000-0100-00000F000000}"/>
    <dataValidation allowBlank="1" showInputMessage="1" showErrorMessage="1" prompt="Mean temperature gradient corrected for drilling/mud circulation (if necessary) for the heat-flow determination interval. Name the correction method in the corresponding field (C31,C32)" sqref="AQ8" xr:uid="{00000000-0002-0000-0100-000010000000}"/>
    <dataValidation allowBlank="1" showInputMessage="1" showErrorMessage="1" prompt="Time of measurement at the interval top in relation to the end values measured during the drilling are equal to zero." sqref="AU8" xr:uid="{00000000-0002-0000-0100-000011000000}"/>
    <dataValidation allowBlank="1" showInputMessage="1" showErrorMessage="1" prompt="Time of measurement at the interval bottom in relation to the end values measured during the drilling are equal to zero." sqref="AV8" xr:uid="{00000000-0002-0000-0100-000012000000}"/>
    <dataValidation allowBlank="1" showInputMessage="1" showErrorMessage="1" prompt="The entry gives the year of the acquisition of the temperature data (not year of publication). If the month is unknown use 01, i.e. for the year 2005 use 2005-01, For multiple entries use the most recent one and add past dates into the comments." sqref="AZ8" xr:uid="{00000000-0002-0000-0100-000013000000}"/>
    <dataValidation allowBlank="1" showInputMessage="1" showErrorMessage="1" prompt="Mean conductivity in vertical direction representative for the interval of heat-flow determination. The value should reflect the true in-situ conditions for the corresponding heat-flow interval." sqref="BA8" xr:uid="{00000000-0002-0000-0100-000014000000}"/>
    <dataValidation allowBlank="1" showInputMessage="1" showErrorMessage="1" prompt="Uncertainty (one standard deviation) of mean thermal conductivity [tc_mean]." sqref="BB8" xr:uid="{00000000-0002-0000-0100-000015000000}"/>
    <dataValidation allowBlank="1" showInputMessage="1" showErrorMessage="1" prompt="Number of discrete conductivity determinations used to determine the mean thermal conductivity [tc_mean]. Not the repetition of one measurement on one rock sample or one thermistor." sqref="BI8" xr:uid="{00000000-0002-0000-0100-000016000000}"/>
    <dataValidation allowBlank="1" showInputMessage="1" showErrorMessage="1" prompt="International Generic Sample Numbers (IGSN, semicolon separated) for rock samples used for laboratory measurements of thermal conductivity in the heat flow calculation." sqref="BK8" xr:uid="{00000000-0002-0000-0100-000017000000}"/>
    <dataValidation allowBlank="1" showInputMessage="1" showErrorMessage="1" prompt="Specification of the total measured depth below mean sea level._x000a_Caution: different national reference systems are used. Also the reference level may be diverse depending on the study_x000a_(drilling, lake, marine…)." sqref="K8" xr:uid="{00000000-0002-0000-0100-000018000000}"/>
    <dataValidation allowBlank="1" showInputMessage="1" showErrorMessage="1" prompt="Specification of the total true vertical depth below mean sea level. Caution: different national reference systems are used. Also the reference level may be diverse depending on the study (drilling, lake, marine…)." sqref="L8" xr:uid="{00000000-0002-0000-0100-000019000000}"/>
    <dataValidation allowBlank="1" showInputMessage="1" showErrorMessage="1" prompt="Tilt of the marine heat-flow probe." sqref="AK8" xr:uid="{00000000-0002-0000-0100-00001A000000}"/>
    <dataValidation allowBlank="1" showInputMessage="1" showErrorMessage="1" prompt="_x000a__x000a_" sqref="BK5" xr:uid="{00000000-0002-0000-0100-00001B000000}"/>
    <dataValidation allowBlank="1" showInputMessage="1" showErrorMessage="1" prompt="Mean temperature gradient measured/inferrred for the heat-flow determination interval" sqref="AO8" xr:uid="{00000000-0002-0000-0100-00001C000000}"/>
    <dataValidation allowBlank="1" showInputMessage="1" showErrorMessage="1" prompt="Uncertainty (one standard deviation) of mean measured/inferred temperature gradient [T_grad_mean] as estimated by an error propagation from the uncertainty in the top and bottom temperature determinations or deviation from the linear regression" sqref="AP8" xr:uid="{00000000-0002-0000-0100-00001D000000}"/>
    <dataValidation allowBlank="1" showInputMessage="1" showErrorMessage="1" prompt="Uncertainty (one standard deviation) of corrected temperature gradient [T_grad_mean_cor] as estimated by an error propagation from the uncertainty in the top and bottom temperature determinations or deviation from the linear regression." sqref="AR8" xr:uid="{00000000-0002-0000-0100-00001E000000}"/>
    <dataValidation allowBlank="1" showInputMessage="1" showErrorMessage="1" prompt="Number of discrete temperature points (e.g. number of used BHT values, log values or thermistors used in probe sensing) confirming the mean temperature gradient [T_grad_mean]. Not the repetition of one measurement at a certain depth" sqref="AY8" xr:uid="{00000000-0002-0000-0100-00001F000000}"/>
    <dataValidation allowBlank="1" showInputMessage="1" showErrorMessage="1" prompt="Comments and further specifications to the individual reported heat-flow determination. Multiple entries separated by a semicolon." sqref="X8" xr:uid="{00000000-0002-0000-0100-000020000000}"/>
    <dataValidation allowBlank="1" showInputMessage="1" showErrorMessage="1" prompt="References of primary data publication related to the respective heat-flow entry. Multiple entries separated by a semicolon." sqref="V8" xr:uid="{00000000-0002-0000-0100-000021000000}"/>
    <dataValidation allowBlank="1" showInputMessage="1" showErrorMessage="1" prompt="Describes the true vertical depth (TVD) of the top end of the heat-flow determination interval relative to the land surface." sqref="R8" xr:uid="{00000000-0002-0000-0100-000022000000}"/>
    <dataValidation allowBlank="1" showInputMessage="1" showErrorMessage="1" prompt="Any kind of heat-flow value (qc)." sqref="O8" xr:uid="{00000000-0002-0000-0100-000023000000}"/>
    <dataValidation type="decimal" errorStyle="warning" allowBlank="1" showInputMessage="1" showErrorMessage="1" errorTitle="Out of range" error="Heat flow uncertainty out of expected range." sqref="C9:C20 P9:P20" xr:uid="{00000000-0002-0000-0100-000025000000}">
      <formula1>0</formula1>
      <formula2>999999.9</formula2>
    </dataValidation>
    <dataValidation type="decimal" errorStyle="warning" allowBlank="1" showInputMessage="1" showErrorMessage="1" errorTitle="Out of range" error="Heat flow value out of expected range." sqref="B9:B20 O9:O20" xr:uid="{00000000-0002-0000-0100-000026000000}">
      <formula1>-999999.9</formula1>
      <formula2>999999.9</formula2>
    </dataValidation>
    <dataValidation type="decimal" allowBlank="1" showErrorMessage="1" errorTitle="Out of range" error="Temperature gradient uncertainty out of valid range." promptTitle="Test" prompt="in&lt;lt" sqref="AP9:AP20" xr:uid="{00000000-0002-0000-0100-000028000000}">
      <formula1>-99999.99</formula1>
      <formula2>99999.99</formula2>
    </dataValidation>
    <dataValidation type="decimal" allowBlank="1" showInputMessage="1" showErrorMessage="1" errorTitle="Out of range" error="Field out of valid range." sqref="AL9:AL20" xr:uid="{00000000-0002-0000-0100-000029000000}">
      <formula1>-9.99</formula1>
      <formula2>999.99</formula2>
    </dataValidation>
    <dataValidation type="decimal" allowBlank="1" showInputMessage="1" showErrorMessage="1" errorTitle="Out of range" error="Probe length out of valid range." sqref="AJ9:AJ20" xr:uid="{00000000-0002-0000-0100-00002A000000}">
      <formula1>0</formula1>
      <formula2>99.99</formula2>
    </dataValidation>
    <dataValidation type="decimal" allowBlank="1" showInputMessage="1" showErrorMessage="1" errorTitle="Out of range" error="Probe tilt out of valid range." sqref="AK9:AL20" xr:uid="{00000000-0002-0000-0100-00002B000000}">
      <formula1>0</formula1>
      <formula2>99.99</formula2>
    </dataValidation>
    <dataValidation type="decimal" allowBlank="1" showInputMessage="1" showErrorMessage="1" errorTitle="Out of range" error="Probe penetration out of valid range." sqref="T9:T20" xr:uid="{00000000-0002-0000-0100-00002C000000}">
      <formula1>0</formula1>
      <formula2>999.9</formula2>
    </dataValidation>
    <dataValidation type="decimal" allowBlank="1" showInputMessage="1" showErrorMessage="1" errorTitle="Out of range" error="Corrected temperature gradient out of valid range." sqref="AQ9:AQ20" xr:uid="{00000000-0002-0000-0100-00002D000000}">
      <formula1>-99999.99</formula1>
      <formula2>99999.99</formula2>
    </dataValidation>
    <dataValidation type="decimal" allowBlank="1" showInputMessage="1" showErrorMessage="1" errorTitle="Out of range" error="Corrected temperature gradient uncertainty out of valid range." sqref="AR9:AR20" xr:uid="{00000000-0002-0000-0100-00002E000000}">
      <formula1>-99999.99</formula1>
      <formula2>99999.99</formula2>
    </dataValidation>
    <dataValidation type="decimal" allowBlank="1" showInputMessage="1" showErrorMessage="1" errorTitle="Out of range" error="Shut-in time out of valid range." sqref="AU9:AV20" xr:uid="{00000000-0002-0000-0100-00002F000000}">
      <formula1>0</formula1>
      <formula2>99999</formula2>
    </dataValidation>
    <dataValidation type="decimal" allowBlank="1" showInputMessage="1" showErrorMessage="1" errorTitle="Out of range" error="Mean conductivity uncertainty out of valid range." sqref="BB9:BB20" xr:uid="{00000000-0002-0000-0100-000030000000}">
      <formula1>0</formula1>
      <formula2>99.99</formula2>
    </dataValidation>
    <dataValidation type="decimal" errorStyle="warning" allowBlank="1" showInputMessage="1" showErrorMessage="1" errorTitle="Out of range" error="Number of temperature data out of valid range." sqref="AY9:AY20" xr:uid="{00000000-0002-0000-0100-000031000000}">
      <formula1>0</formula1>
      <formula2>999999</formula2>
    </dataValidation>
    <dataValidation type="decimal" errorStyle="warning" allowBlank="1" showInputMessage="1" showErrorMessage="1" errorTitle="Out of range" error="Number of TC data out of valid range." sqref="BI9:BI20" xr:uid="{00000000-0002-0000-0100-000032000000}">
      <formula1>0</formula1>
      <formula2>9999</formula2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xWindow="1357" yWindow="780" count="64">
        <x14:dataValidation type="list" allowBlank="1" showInputMessage="1" showErrorMessage="1" prompt="Specifies if surface temperature variation (B) or bottom water temperature variation (S)  with respect to the reported heat-flow value was present and if corrections were performed." xr:uid="{00000000-0002-0000-0100-000033000000}">
          <x14:formula1>
            <xm:f>'controlled vocabulary'!$AE$3:$AE$7</xm:f>
          </x14:formula1>
          <xm:sqref>AE8</xm:sqref>
        </x14:dataValidation>
        <x14:dataValidation type="list" allowBlank="1" showInputMessage="1" showErrorMessage="1" prompt="Specifies if climatic conditions (glaciation, post-industrial warming, etc.) with respect to the reported heat-flow value were present and if corrections were performed." xr:uid="{00000000-0002-0000-0100-000034000000}">
          <x14:formula1>
            <xm:f>'controlled vocabulary'!$AD$3:$AD$7</xm:f>
          </x14:formula1>
          <xm:sqref>AD8:AE8</xm:sqref>
        </x14:dataValidation>
        <x14:dataValidation type="list" allowBlank="1" showInputMessage="1" showErrorMessage="1" prompt="Specifies if surface temperature variation (S) or bottom water temperature variation (B) with respect to the reported heat-flow_x000a_value were present and if corrections were performed." xr:uid="{00000000-0002-0000-0100-000035000000}">
          <x14:formula1>
            <xm:f>'controlled vocabulary'!$AE$3:$AE$7</xm:f>
          </x14:formula1>
          <xm:sqref>AE8</xm:sqref>
        </x14:dataValidation>
        <x14:dataValidation type="list" allowBlank="1" showInputMessage="1" showErrorMessage="1" prompt="Specifies if erosion effects with respect to the reported heat-flow value were present and if corrections were performed." xr:uid="{00000000-0002-0000-0100-000036000000}">
          <x14:formula1>
            <xm:f>'controlled vocabulary'!$AA$3:$AA$7</xm:f>
          </x14:formula1>
          <xm:sqref>AB8</xm:sqref>
        </x14:dataValidation>
        <x14:dataValidation type="list" allowBlank="1" showInputMessage="1" showErrorMessage="1" prompt="Specifies if sedimentation/subsidence effects with respect to the reported heat-flow value were present and if corrections were performed." xr:uid="{00000000-0002-0000-0100-000037000000}">
          <x14:formula1>
            <xm:f>'controlled vocabulary'!$AA$3:$AA$7</xm:f>
          </x14:formula1>
          <xm:sqref>AA8</xm:sqref>
        </x14:dataValidation>
        <x14:dataValidation type="list" allowBlank="1" showInputMessage="1" showErrorMessage="1" prompt="Specifies if topographic effects with respect to the reported heat-flow value were present and if corrections were performed." xr:uid="{00000000-0002-0000-0100-000038000000}">
          <x14:formula1>
            <xm:f>'controlled vocabulary'!$AC$3:$AC$7</xm:f>
          </x14:formula1>
          <xm:sqref>AC8</xm:sqref>
        </x14:dataValidation>
        <x14:dataValidation type="list" allowBlank="1" showInputMessage="1" showErrorMessage="1" prompt="Specifies if convection effects with respect to the reported heat-flow value were present and if corrections were performed." xr:uid="{00000000-0002-0000-0100-000039000000}">
          <x14:formula1>
            <xm:f>'controlled vocabulary'!$AF$3:$AF$7</xm:f>
          </x14:formula1>
          <xm:sqref>AF8</xm:sqref>
        </x14:dataValidation>
        <x14:dataValidation type="list" allowBlank="1" showInputMessage="1" showErrorMessage="1" prompt="Specifies if refraction effects, e.g., due to significant local conductivity contrasts, with respect to the reported heat-flow value were present and if corrections were performed. " xr:uid="{00000000-0002-0000-0100-00003A000000}">
          <x14:formula1>
            <xm:f>'controlled vocabulary'!$AG$3:$AG$7</xm:f>
          </x14:formula1>
          <xm:sqref>AG8</xm:sqref>
        </x14:dataValidation>
        <x14:dataValidation type="list" allowBlank="1" showInputMessage="1" showErrorMessage="1" prompt="Specifies if surface temperature variation (S) or bottom water temperature variation (B) with respect to the reported heat-flow_x000a_value were present and if corrections were performed." xr:uid="{00000000-0002-0000-0100-00003B000000}">
          <x14:formula1>
            <xm:f>'controlled vocabulary'!$AF$3:$AF$7</xm:f>
          </x14:formula1>
          <xm:sqref>AE8</xm:sqref>
        </x14:dataValidation>
        <x14:dataValidation type="list" allowBlank="1" showInputMessage="1" showErrorMessage="1" prompt="Specifies if instrumental corrections to the measured temperature data were required and performed, e.g. for the tilt correction of probes. Multiple entries separated by a semicolon." xr:uid="{00000000-0002-0000-0100-00003C000000}">
          <x14:formula1>
            <xm:f>'controlled vocabulary'!$Z$3:$Z$7</xm:f>
          </x14:formula1>
          <xm:sqref>Z8</xm:sqref>
        </x14:dataValidation>
        <x14:dataValidation type="list" allowBlank="1" showInputMessage="1" showErrorMessage="1" prompt="Specifies if erosion effects with respect to the reported heat-flow value were present and if corrections were performed." xr:uid="{00000000-0002-0000-0100-00003D000000}">
          <x14:formula1>
            <xm:f>'controlled vocabulary'!$AB$3:$AB$7</xm:f>
          </x14:formula1>
          <xm:sqref>AB8</xm:sqref>
        </x14:dataValidation>
        <x14:dataValidation type="list" allowBlank="1" showInputMessage="1" showErrorMessage="1" prompt="Specifies if convection effects with respect to the reported heat-flow value were present and if corrections were performed." xr:uid="{00000000-0002-0000-0100-00003E000000}">
          <x14:formula1>
            <xm:f>'controlled vocabulary'!$AG$3:$AG$7</xm:f>
          </x14:formula1>
          <xm:sqref>AF8</xm:sqref>
        </x14:dataValidation>
        <x14:dataValidation type="list" allowBlank="1" showInputMessage="1" showErrorMessage="1" prompt="Describes the general geographical setting of the heat-flow site (not the applied methodology)." xr:uid="{00000000-0002-0000-0100-00003F000000}">
          <x14:formula1>
            <xm:f>'controlled vocabulary'!$H$3:$H$7</xm:f>
          </x14:formula1>
          <xm:sqref>H8</xm:sqref>
        </x14:dataValidation>
        <x14:dataValidation type="list" allowBlank="1" showInputMessage="1" showErrorMessage="1" prompt="Nature of the samples upon which thermal-conductivity was determined [tc_mean]. Multiple entries separated by a semicolon." xr:uid="{00000000-0002-0000-0100-000040000000}">
          <x14:formula1>
            <xm:f>'controlled vocabulary'!$BC$3:$BC$12</xm:f>
          </x14:formula1>
          <xm:sqref>BC8</xm:sqref>
        </x14:dataValidation>
        <x14:dataValidation type="list" allowBlank="1" showInputMessage="1" showErrorMessage="1" prompt="The strategy that was employed to estimate the thermal conductivity [tc_mean] over the vertical interval of heat-flow determination. Multiple entries separated by a semicolon." xr:uid="{00000000-0002-0000-0100-000041000000}">
          <x14:formula1>
            <xm:f>'controlled vocabulary'!$BJ$3:$BJ$8</xm:f>
          </x14:formula1>
          <xm:sqref>BJ8</xm:sqref>
        </x14:dataValidation>
        <x14:dataValidation type="list" allowBlank="1" showInputMessage="1" showErrorMessage="1" prompt="Specifies if the correction to the calculated heat flow considers the contribution of the heat production of the overburden to the terrestrial surface heat flow q. " xr:uid="{00000000-0002-0000-0100-000042000000}">
          <x14:formula1>
            <xm:f>'controlled vocabulary'!$J$3:$J$5</xm:f>
          </x14:formula1>
          <xm:sqref>J8</xm:sqref>
        </x14:dataValidation>
        <x14:dataValidation type="list" allowBlank="1" showInputMessage="1" showErrorMessage="1" prompt="Main purpose of the reconnaissance target providing access for the temperature sensors. Multiple entries separated by a semicolon." xr:uid="{00000000-0002-0000-0100-000043000000}">
          <x14:formula1>
            <xm:f>'controlled vocabulary'!$N$3:$N$12</xm:f>
          </x14:formula1>
          <xm:sqref>N8</xm:sqref>
        </x14:dataValidation>
        <x14:dataValidation type="list" allowBlank="1" showInputMessage="1" showErrorMessage="1" prompt="Specification of the the total drilling depth below mean sea level. _x000a_Caution: different national reference systems are used. Also the reference level may be diverse depending on the study (drilling, lake, marine…). " xr:uid="{00000000-0002-0000-0100-000044000000}">
          <x14:formula1>
            <xm:f>'controlled vocabulary'!$N$3:$N$12</xm:f>
          </x14:formula1>
          <xm:sqref>N8</xm:sqref>
        </x14:dataValidation>
        <x14:dataValidation type="list" allowBlank="1" showInputMessage="1" showErrorMessage="1" prompt="Principal method of heat-flow calculation from temperature and thermal conductivity data. Multiple entries separated by a semicolon." xr:uid="{00000000-0002-0000-0100-000045000000}">
          <x14:formula1>
            <xm:f>'controlled vocabulary'!$Q$3:$Q$8</xm:f>
          </x14:formula1>
          <xm:sqref>Q8</xm:sqref>
        </x14:dataValidation>
        <x14:dataValidation type="list" allowBlank="1" showInputMessage="1" showErrorMessage="1" prompt="Specifies whether the child entry is used for computation of representative location heat-flow values at the parent level or not. " xr:uid="{00000000-0002-0000-0100-000046000000}">
          <x14:formula1>
            <xm:f>'controlled vocabulary'!$W$3:$W$5</xm:f>
          </x14:formula1>
          <xm:sqref>W8</xm:sqref>
        </x14:dataValidation>
        <x14:dataValidation type="list" allowBlank="1" showInputMessage="1" showErrorMessage="1" prompt="Method used for thermal-conductivity determination for [tc_mean]. Multiple entries separated by a semicolon." xr:uid="{00000000-0002-0000-0100-000047000000}">
          <x14:formula1>
            <xm:f>'controlled vocabulary'!$BE$3:$BE$16</xm:f>
          </x14:formula1>
          <xm:sqref>BE8</xm:sqref>
        </x14:dataValidation>
        <x14:dataValidation type="list" allowBlank="1" showInputMessage="1" showErrorMessage="1" prompt="Specifies if refraction effects, e.g., due to significant local conductivity contrasts, with respect to the reported heat-flow value were present and if corrections were performed. " xr:uid="{00000000-0002-0000-0100-000048000000}">
          <x14:formula1>
            <xm:f>'controlled vocabulary'!#REF!</xm:f>
          </x14:formula1>
          <xm:sqref>AG8</xm:sqref>
        </x14:dataValidation>
        <x14:dataValidation type="list" allowBlank="1" showInputMessage="1" showErrorMessage="1" prompt="Specifies whether the in-situ pressure and temperature conditions were considered in the reported thermal conductivity value or not. Multiple entries separated by a semicolon." xr:uid="{00000000-0002-0000-0100-000049000000}">
          <x14:formula1>
            <xm:f>'controlled vocabulary'!$Y$3:$Y$7</xm:f>
          </x14:formula1>
          <xm:sqref>Y8</xm:sqref>
        </x14:dataValidation>
        <x14:dataValidation type="list" allowBlank="1" showInputMessage="1" showErrorMessage="1" prompt="Specification of the expedition, cruise, platform or research vessel where the marine heat flow survey was conducted. Multiple entries separated by a semicolon." xr:uid="{00000000-0002-0000-0100-00004A000000}">
          <x14:formula1>
            <xm:f>'controlled vocabulary'!$AH$3:$AH$9</xm:f>
          </x14:formula1>
          <xm:sqref>AH8</xm:sqref>
        </x14:dataValidation>
        <x14:dataValidation type="list" allowBlank="1" showInputMessage="1" showErrorMessage="1" prompt="Specification of the general means by which the rock was accessed by temperature sensors for the respective data entry." xr:uid="{00000000-0002-0000-0100-00004B000000}">
          <x14:formula1>
            <xm:f>'controlled vocabulary'!$M$3:$M$12</xm:f>
          </x14:formula1>
          <xm:sqref>M8</xm:sqref>
        </x14:dataValidation>
        <x14:dataValidation type="list" allowBlank="1" showInputMessage="1" showErrorMessage="1" prompt="Type of heat-flow probe used for measurement. Multiple entries separated by a semicolon. " xr:uid="{00000000-0002-0000-0100-00004C000000}">
          <x14:formula1>
            <xm:f>'controlled vocabulary'!$AI$3:$AI$15</xm:f>
          </x14:formula1>
          <xm:sqref>AI8</xm:sqref>
        </x14:dataValidation>
        <x14:dataValidation type="list" allowBlank="1" showInputMessage="1" showErrorMessage="1" prompt="Method used for temperature determination at the top of the heat-flow determination interval. Multiple entries separated by a semicolon." xr:uid="{00000000-0002-0000-0100-00004D000000}">
          <x14:formula1>
            <xm:f>'controlled vocabulary'!$AS$3:$AS$27</xm:f>
          </x14:formula1>
          <xm:sqref>AS8</xm:sqref>
        </x14:dataValidation>
        <x14:dataValidation type="list" allowBlank="1" showInputMessage="1" showErrorMessage="1" prompt="Method used for temperature determination at the bottom of the heat-flow determination interval. Multiple entries separated by a semicolon." xr:uid="{00000000-0002-0000-0100-00004E000000}">
          <x14:formula1>
            <xm:f>'controlled vocabulary'!$AT$3:$AT$26</xm:f>
          </x14:formula1>
          <xm:sqref>AT8</xm:sqref>
        </x14:dataValidation>
        <x14:dataValidation type="list" allowBlank="1" showInputMessage="1" showErrorMessage="1" prompt="Location of conductivity data used for heat flow calculation. Multiple entries separated by a semicolon." xr:uid="{00000000-0002-0000-0100-00004F000000}">
          <x14:formula1>
            <xm:f>'controlled vocabulary'!$BD$3:$BD$5</xm:f>
          </x14:formula1>
          <xm:sqref>BD8</xm:sqref>
        </x14:dataValidation>
        <x14:dataValidation type="list" allowBlank="1" showInputMessage="1" prompt="Saturation state of the studied rock interval studied for thermal conductivity [tc_mean]. Multiple entries separated by a semicolon." xr:uid="{00000000-0002-0000-0100-000050000000}">
          <x14:formula1>
            <xm:f>'controlled vocabulary'!$BF$3:$BF$9</xm:f>
          </x14:formula1>
          <xm:sqref>BF8</xm:sqref>
        </x14:dataValidation>
        <x14:dataValidation type="list" allowBlank="1" showInputMessage="1" showErrorMessage="1" prompt="Qualified conditions of pressure and temperature under which the mean thermal conductivity [tc_mean] used for the heatflow_x000a_computation were determined. Multiple entries separated by a semicolon." xr:uid="{00000000-0002-0000-0100-000051000000}">
          <x14:formula1>
            <xm:f>'controlled vocabulary'!$BG$3:$BG$12</xm:f>
          </x14:formula1>
          <xm:sqref>BG8</xm:sqref>
        </x14:dataValidation>
        <x14:dataValidation type="list" allowBlank="1" showInputMessage="1" showErrorMessage="1" prompt="Technique or approach used to correct the measured thermal conductivity towards in-situ pressure (p) and/or temperature (T)_x000a_conditions. Multiple entries separated by a semicolon." xr:uid="{00000000-0002-0000-0100-000052000000}">
          <x14:formula1>
            <xm:f>'controlled vocabulary'!$BH$3:$BH$43</xm:f>
          </x14:formula1>
          <xm:sqref>BH8</xm:sqref>
        </x14:dataValidation>
        <x14:dataValidation type="list" allowBlank="1" showInputMessage="1" showErrorMessage="1" prompt="Applicable only if the gradient correction for borehole effects is reported. Approach applied to correct the temperature measurement for drilling perturbations at the top of the interval used for heat-flow determination." xr:uid="{00000000-0002-0000-0100-000053000000}">
          <x14:formula1>
            <xm:f>'controlled vocabulary'!$AW$3:$AW$10</xm:f>
          </x14:formula1>
          <xm:sqref>AW8</xm:sqref>
        </x14:dataValidation>
        <x14:dataValidation type="list" allowBlank="1" showInputMessage="1" showErrorMessage="1" prompt="Applicable only if the gradient correction for borehole effects is reported. Approach applied to correct the temperature_x000a_measurement for drilling perturbations at the bottom of the interval used for heat-flow determination." xr:uid="{00000000-0002-0000-0100-000054000000}">
          <x14:formula1>
            <xm:f>'controlled vocabulary'!$AX$3:$AX$10</xm:f>
          </x14:formula1>
          <xm:sqref>AX8</xm:sqref>
        </x14:dataValidation>
        <x14:dataValidation type="list" allowBlank="1" showInputMessage="1" showErrorMessage="1" prompt="Applicable only if gradient correction for borehole effects is reported. Approach applied to correct the temperature measurement for drilling perturbations at the bottom of the interval used for heat-flow determination." xr:uid="{00000000-0002-0000-0100-000055000000}">
          <x14:formula1>
            <xm:f>'controlled vocabulary'!$AX$3:$AX$10</xm:f>
          </x14:formula1>
          <xm:sqref>AX8</xm:sqref>
        </x14:dataValidation>
        <x14:dataValidation type="list" allowBlank="1" showInputMessage="1" showErrorMessage="1" prompt="Dominant rock type/lithology within the interval of heat-flow determination. Multiple entries separated by semicolon." xr:uid="{00000000-0002-0000-0100-000056000000}">
          <x14:formula1>
            <xm:f>'controlled vocabulary'!$AN$3:$AN$183</xm:f>
          </x14:formula1>
          <xm:sqref>AM8</xm:sqref>
        </x14:dataValidation>
        <x14:dataValidation type="list" allowBlank="1" showInputMessage="1" showErrorMessage="1" prompt="Stratigraphic age (series/epoch or stage/age) of the depth range involved in the reported heat-flow determination. Multiple entries separated by a semicolon." xr:uid="{00000000-0002-0000-0100-000057000000}">
          <x14:formula1>
            <xm:f>'controlled vocabulary'!$AN$3:$AN$183</xm:f>
          </x14:formula1>
          <xm:sqref>AN8</xm:sqref>
        </x14:dataValidation>
        <x14:dataValidation type="list" errorStyle="warning" allowBlank="1" showInputMessage="1" showErrorMessage="1" errorTitle="Out of range" error="This field entry does not match the allowed controlled vocabulary." xr:uid="{00000000-0002-0000-0100-000058000000}">
          <x14:formula1>
            <xm:f>'controlled vocabulary'!$AA$3:$AA$7</xm:f>
          </x14:formula1>
          <xm:sqref>AA9:AA20</xm:sqref>
        </x14:dataValidation>
        <x14:dataValidation type="list" errorStyle="warning" allowBlank="1" showInputMessage="1" showErrorMessage="1" errorTitle="Out of range" error="This field entry does not match the allowed controlled vocabulary." xr:uid="{00000000-0002-0000-0100-000059000000}">
          <x14:formula1>
            <xm:f>'controlled vocabulary'!$AC$3:$AC$7</xm:f>
          </x14:formula1>
          <xm:sqref>AC9:AC20</xm:sqref>
        </x14:dataValidation>
        <x14:dataValidation type="list" allowBlank="1" showInputMessage="1" showErrorMessage="1" xr:uid="{00000000-0002-0000-0100-00005A000000}">
          <x14:formula1>
            <xm:f>'controlled vocabulary'!$BR$3:$BR$4</xm:f>
          </x14:formula1>
          <xm:sqref>BR8:BR20</xm:sqref>
        </x14:dataValidation>
        <x14:dataValidation type="list" allowBlank="1" showInputMessage="1" showErrorMessage="1" xr:uid="{00000000-0002-0000-0100-00005B000000}">
          <x14:formula1>
            <xm:f>'controlled vocabulary'!$BQ$3:$BQ$9</xm:f>
          </x14:formula1>
          <xm:sqref>BQ8:BQ20</xm:sqref>
        </x14:dataValidation>
        <x14:dataValidation type="list" errorStyle="warning" allowBlank="1" showInputMessage="1" showErrorMessage="1" errorTitle="Out of range" error="This field entry does not match the allowed controlled vocabulary." xr:uid="{00000000-0002-0000-0100-00005C000000}">
          <x14:formula1>
            <xm:f>'controlled vocabulary'!$AD$3:$AD$7</xm:f>
          </x14:formula1>
          <xm:sqref>AD9:AE20</xm:sqref>
        </x14:dataValidation>
        <x14:dataValidation type="list" allowBlank="1" showInputMessage="1" prompt="Qualified conditions of pressure and temperature under which the mean thermal conductivity [tc_mean] used for the heatflow_x000a_computation was determined." xr:uid="{00000000-0002-0000-0100-00005D000000}">
          <x14:formula1>
            <xm:f>'controlled vocabulary'!$BG$3:$BG$12</xm:f>
          </x14:formula1>
          <xm:sqref>BG9:BG20</xm:sqref>
        </x14:dataValidation>
        <x14:dataValidation type="list" errorStyle="warning" allowBlank="1" showInputMessage="1" showErrorMessage="1" errorTitle="Out of range" error="This field entry does not match the allowed controlled vocabulary." xr:uid="{00000000-0002-0000-0100-00005E000000}">
          <x14:formula1>
            <xm:f>'controlled vocabulary'!$J$3:$J$5</xm:f>
          </x14:formula1>
          <xm:sqref>J9:J20</xm:sqref>
        </x14:dataValidation>
        <x14:dataValidation type="list" errorStyle="warning" allowBlank="1" showInputMessage="1" showErrorMessage="1" errorTitle="Out of range" error="This field entry does not match the allowed controlled vocabulary." xr:uid="{00000000-0002-0000-0100-00005F000000}">
          <x14:formula1>
            <xm:f>'controlled vocabulary'!$AB$3:$AB$7</xm:f>
          </x14:formula1>
          <xm:sqref>AB9:AB20</xm:sqref>
        </x14:dataValidation>
        <x14:dataValidation type="list" errorStyle="warning" allowBlank="1" showInputMessage="1" showErrorMessage="1" errorTitle="Out of range" error="This field entry does not match the allowed controlled vocabulary." xr:uid="{00000000-0002-0000-0100-000060000000}">
          <x14:formula1>
            <xm:f>'controlled vocabulary'!$AF$3:$AF$7</xm:f>
          </x14:formula1>
          <xm:sqref>AF9:AF20</xm:sqref>
        </x14:dataValidation>
        <x14:dataValidation type="list" errorStyle="warning" allowBlank="1" showInputMessage="1" showErrorMessage="1" errorTitle="Out of range" error="This field entry does not match the allowed controlled vocabulary." xr:uid="{00000000-0002-0000-0100-000061000000}">
          <x14:formula1>
            <xm:f>'controlled vocabulary'!$AG$3:$AG$7</xm:f>
          </x14:formula1>
          <xm:sqref>AG9:AG20</xm:sqref>
        </x14:dataValidation>
        <x14:dataValidation type="list" errorStyle="warning" allowBlank="1" showInputMessage="1" errorTitle="Out of range" error="This field entry does not match the allowed controlled vocabulary." xr:uid="{00000000-0002-0000-0100-000062000000}">
          <x14:formula1>
            <xm:f>'controlled vocabulary'!$BJ$3:$BJ$8</xm:f>
          </x14:formula1>
          <xm:sqref>BJ9:BJ20</xm:sqref>
        </x14:dataValidation>
        <x14:dataValidation type="list" errorStyle="warning" allowBlank="1" showInputMessage="1" errorTitle="Out of range" error="This field entry does not match the allowed controlled vocabulary." xr:uid="{00000000-0002-0000-0100-000063000000}">
          <x14:formula1>
            <xm:f>'controlled vocabulary'!$BC$3:$BC$12</xm:f>
          </x14:formula1>
          <xm:sqref>BC9:BC20</xm:sqref>
        </x14:dataValidation>
        <x14:dataValidation type="list" errorStyle="warning" allowBlank="1" showInputMessage="1" errorTitle="Out of range" error="This field entry does not match the allowed controlled vocabulary." xr:uid="{00000000-0002-0000-0100-000064000000}">
          <x14:formula1>
            <xm:f>'controlled vocabulary'!$N$3:$N$12</xm:f>
          </x14:formula1>
          <xm:sqref>N9:N20</xm:sqref>
        </x14:dataValidation>
        <x14:dataValidation type="list" allowBlank="1" showInputMessage="1" prompt="Location of conductivity data used for heatflow calculation." xr:uid="{00000000-0002-0000-0100-000065000000}">
          <x14:formula1>
            <xm:f>'controlled vocabulary'!$BD$3:$BD$5</xm:f>
          </x14:formula1>
          <xm:sqref>BD9:BD20</xm:sqref>
        </x14:dataValidation>
        <x14:dataValidation type="list" errorStyle="warning" allowBlank="1" showInputMessage="1" errorTitle="Out of range" error="This field entry does not match the allowed controlled vocabulary." xr:uid="{00000000-0002-0000-0100-000066000000}">
          <x14:formula1>
            <xm:f>'controlled vocabulary'!$BE$3:$BE$16</xm:f>
          </x14:formula1>
          <xm:sqref>BE9:BE20</xm:sqref>
        </x14:dataValidation>
        <x14:dataValidation type="list" errorStyle="warning" allowBlank="1" showInputMessage="1" showErrorMessage="1" errorTitle="Out of range" error="This field entry does not match the allowed controlled vocabulary." xr:uid="{00000000-0002-0000-0100-000068000000}">
          <x14:formula1>
            <xm:f>'controlled vocabulary'!$Y$3:$Y$7</xm:f>
          </x14:formula1>
          <xm:sqref>Y9:Y20</xm:sqref>
        </x14:dataValidation>
        <x14:dataValidation type="list" errorStyle="warning" allowBlank="1" showInputMessage="1" errorTitle="Out of range" error="This field entry does not match the allowed controlled vocabulary." xr:uid="{00000000-0002-0000-0100-000069000000}">
          <x14:formula1>
            <xm:f>'controlled vocabulary'!$Z$3:$Z$7</xm:f>
          </x14:formula1>
          <xm:sqref>Z9:Z20</xm:sqref>
        </x14:dataValidation>
        <x14:dataValidation type="list" errorStyle="warning" allowBlank="1" showInputMessage="1" errorTitle="Out of range" error="This field entry does not match the allowed controlled vocabulary." xr:uid="{00000000-0002-0000-0100-00006A000000}">
          <x14:formula1>
            <xm:f>'controlled vocabulary'!$AH$3:$AH$9</xm:f>
          </x14:formula1>
          <xm:sqref>AH9:AH20</xm:sqref>
        </x14:dataValidation>
        <x14:dataValidation type="list" allowBlank="1" showInputMessage="1" prompt="Saturation state of the studied rock interval studied for thermal conductivity [tc_mean]." xr:uid="{00000000-0002-0000-0100-00006B000000}">
          <x14:formula1>
            <xm:f>'controlled vocabulary'!$BF$3:$BF$9</xm:f>
          </x14:formula1>
          <xm:sqref>BF9:BF20</xm:sqref>
        </x14:dataValidation>
        <x14:dataValidation type="list" errorStyle="warning" allowBlank="1" showInputMessage="1" errorTitle="Out of range" error="This field entry does not match the allowed controlled vocabulary." xr:uid="{00000000-0002-0000-0100-00006C000000}">
          <x14:formula1>
            <xm:f>'controlled vocabulary'!$Q$3:$Q$8</xm:f>
          </x14:formula1>
          <xm:sqref>Q9:Q20</xm:sqref>
        </x14:dataValidation>
        <x14:dataValidation type="list" errorStyle="warning" allowBlank="1" showInputMessage="1" showErrorMessage="1" errorTitle="Out of range" error="This field entry does not match the allowed controlled vocabulary." xr:uid="{00000000-0002-0000-0100-00006D000000}">
          <x14:formula1>
            <xm:f>'controlled vocabulary'!$M$3:$M$12</xm:f>
          </x14:formula1>
          <xm:sqref>M9:M20</xm:sqref>
        </x14:dataValidation>
        <x14:dataValidation type="list" allowBlank="1" showInputMessage="1" prompt="Method used for temperature determination at the top of the heat-flow determination interval. " xr:uid="{00000000-0002-0000-0100-00006E000000}">
          <x14:formula1>
            <xm:f>'controlled vocabulary'!$AS$3:$AS$27</xm:f>
          </x14:formula1>
          <xm:sqref>AS9:AT20</xm:sqref>
        </x14:dataValidation>
        <x14:dataValidation type="list" allowBlank="1" showInputMessage="1" prompt="Type of heat-flow probe used for measurement." xr:uid="{00000000-0002-0000-0100-00006F000000}">
          <x14:formula1>
            <xm:f>'controlled vocabulary'!$AI$3:$AI$15</xm:f>
          </x14:formula1>
          <xm:sqref>AI9:AI20</xm:sqref>
        </x14:dataValidation>
        <x14:dataValidation type="list" allowBlank="1" showInputMessage="1" prompt="Technique or approach used to correct the measured thermal conductivity towards insitu pressure (p) and/or temperature (T)_x000a_conditions." xr:uid="{00000000-0002-0000-0100-000070000000}">
          <x14:formula1>
            <xm:f>'controlled vocabulary'!$BH$3:$BH$43</xm:f>
          </x14:formula1>
          <xm:sqref>BH9:BH20</xm:sqref>
        </x14:dataValidation>
        <x14:dataValidation type="list" errorStyle="warning" allowBlank="1" showInputMessage="1" errorTitle="Out of range" error="This field entry does not match the allowed controlled vocabulary." xr:uid="{00000000-0002-0000-0100-000071000000}">
          <x14:formula1>
            <xm:f>'controlled vocabulary'!$AW$3:$AW$10</xm:f>
          </x14:formula1>
          <xm:sqref>AW9:AX20</xm:sqref>
        </x14:dataValidation>
        <x14:dataValidation type="list" errorStyle="warning" allowBlank="1" showInputMessage="1" showErrorMessage="1" errorTitle="Out of range" error="This field entry does not match the allowed controlled vocabulary." xr:uid="{00000000-0002-0000-0100-000072000000}">
          <x14:formula1>
            <xm:f>'controlled vocabulary'!$W$3:$W$4</xm:f>
          </x14:formula1>
          <xm:sqref>W9:W20</xm:sqref>
        </x14:dataValidation>
        <x14:dataValidation type="list" errorStyle="warning" allowBlank="1" showInputMessage="1" showErrorMessage="1" errorTitle="Out of range" error="This field entry does not match the allowed controlled vocabulary." xr:uid="{00000000-0002-0000-0100-000073000000}">
          <x14:formula1>
            <xm:f>'controlled vocabulary'!$H$3:$H$8</xm:f>
          </x14:formula1>
          <xm:sqref>H9:H20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267"/>
  <sheetViews>
    <sheetView topLeftCell="AJ1" zoomScale="160" zoomScaleNormal="160" workbookViewId="0">
      <selection activeCell="AK3" sqref="AK3"/>
    </sheetView>
  </sheetViews>
  <sheetFormatPr defaultColWidth="11.42578125" defaultRowHeight="11.25" x14ac:dyDescent="0.2"/>
  <cols>
    <col min="1" max="7" width="11.42578125" style="32"/>
    <col min="8" max="8" width="20.42578125" style="32" customWidth="1"/>
    <col min="9" max="13" width="11.42578125" style="32"/>
    <col min="14" max="14" width="16" style="32" customWidth="1"/>
    <col min="15" max="16" width="11.42578125" style="32"/>
    <col min="17" max="17" width="20.42578125" style="32" customWidth="1"/>
    <col min="18" max="34" width="11.42578125" style="32"/>
    <col min="35" max="35" width="42" style="32" customWidth="1"/>
    <col min="36" max="44" width="11.42578125" style="32"/>
    <col min="45" max="45" width="26.5703125" style="32" customWidth="1"/>
    <col min="46" max="46" width="21" style="32" customWidth="1"/>
    <col min="47" max="48" width="11.42578125" style="32"/>
    <col min="49" max="49" width="20" style="32" customWidth="1"/>
    <col min="50" max="50" width="18" style="32" customWidth="1"/>
    <col min="51" max="54" width="11.42578125" style="32"/>
    <col min="55" max="55" width="15.42578125" style="32" customWidth="1"/>
    <col min="56" max="56" width="22.42578125" style="32" customWidth="1"/>
    <col min="57" max="57" width="30" style="32" customWidth="1"/>
    <col min="58" max="58" width="25.5703125" style="32" customWidth="1"/>
    <col min="59" max="59" width="31.42578125" style="32" customWidth="1"/>
    <col min="60" max="60" width="23" style="32" customWidth="1"/>
    <col min="61" max="16384" width="11.42578125" style="32"/>
  </cols>
  <sheetData>
    <row r="1" spans="1:71" ht="67.5" x14ac:dyDescent="0.2">
      <c r="A1" s="3" t="s">
        <v>77</v>
      </c>
      <c r="B1" s="79" t="s">
        <v>313</v>
      </c>
      <c r="C1" s="79" t="s">
        <v>314</v>
      </c>
      <c r="D1" s="79" t="s">
        <v>32</v>
      </c>
      <c r="E1" s="80" t="s">
        <v>33</v>
      </c>
      <c r="F1" s="80" t="s">
        <v>34</v>
      </c>
      <c r="G1" s="79" t="s">
        <v>303</v>
      </c>
      <c r="H1" s="79" t="s">
        <v>37</v>
      </c>
      <c r="I1" s="79" t="s">
        <v>75</v>
      </c>
      <c r="J1" s="79" t="s">
        <v>106</v>
      </c>
      <c r="K1" s="19" t="s">
        <v>304</v>
      </c>
      <c r="L1" s="19" t="s">
        <v>305</v>
      </c>
      <c r="M1" s="79" t="s">
        <v>61</v>
      </c>
      <c r="N1" s="79" t="s">
        <v>62</v>
      </c>
      <c r="O1" s="79" t="s">
        <v>311</v>
      </c>
      <c r="P1" s="79" t="s">
        <v>312</v>
      </c>
      <c r="Q1" s="79" t="s">
        <v>38</v>
      </c>
      <c r="R1" s="79" t="s">
        <v>39</v>
      </c>
      <c r="S1" s="79" t="s">
        <v>60</v>
      </c>
      <c r="T1" s="79" t="s">
        <v>40</v>
      </c>
      <c r="U1" s="79" t="s">
        <v>94</v>
      </c>
      <c r="V1" s="79" t="s">
        <v>35</v>
      </c>
      <c r="W1" s="79" t="s">
        <v>43</v>
      </c>
      <c r="X1" s="79" t="s">
        <v>76</v>
      </c>
      <c r="Y1" s="79" t="s">
        <v>98</v>
      </c>
      <c r="Z1" s="79" t="s">
        <v>99</v>
      </c>
      <c r="AA1" s="79" t="s">
        <v>103</v>
      </c>
      <c r="AB1" s="79" t="s">
        <v>100</v>
      </c>
      <c r="AC1" s="79" t="s">
        <v>101</v>
      </c>
      <c r="AD1" s="79" t="s">
        <v>319</v>
      </c>
      <c r="AE1" s="79" t="s">
        <v>320</v>
      </c>
      <c r="AF1" s="79" t="s">
        <v>102</v>
      </c>
      <c r="AG1" s="79" t="s">
        <v>104</v>
      </c>
      <c r="AH1" s="81" t="s">
        <v>63</v>
      </c>
      <c r="AI1" s="79" t="s">
        <v>41</v>
      </c>
      <c r="AJ1" s="79" t="s">
        <v>42</v>
      </c>
      <c r="AK1" s="79" t="s">
        <v>47</v>
      </c>
      <c r="AL1" s="79" t="s">
        <v>843</v>
      </c>
      <c r="AM1" s="79" t="s">
        <v>44</v>
      </c>
      <c r="AN1" s="79" t="s">
        <v>45</v>
      </c>
      <c r="AO1" s="79" t="s">
        <v>119</v>
      </c>
      <c r="AP1" s="79" t="s">
        <v>46</v>
      </c>
      <c r="AQ1" s="79" t="s">
        <v>866</v>
      </c>
      <c r="AR1" s="79" t="s">
        <v>867</v>
      </c>
      <c r="AS1" s="79" t="s">
        <v>117</v>
      </c>
      <c r="AT1" s="79" t="s">
        <v>118</v>
      </c>
      <c r="AU1" s="79" t="s">
        <v>56</v>
      </c>
      <c r="AV1" s="79" t="s">
        <v>57</v>
      </c>
      <c r="AW1" s="79" t="s">
        <v>58</v>
      </c>
      <c r="AX1" s="79" t="s">
        <v>59</v>
      </c>
      <c r="AY1" s="79" t="s">
        <v>377</v>
      </c>
      <c r="AZ1" s="82" t="s">
        <v>36</v>
      </c>
      <c r="BA1" s="81" t="s">
        <v>48</v>
      </c>
      <c r="BB1" s="79" t="s">
        <v>130</v>
      </c>
      <c r="BC1" s="79" t="s">
        <v>131</v>
      </c>
      <c r="BD1" s="79" t="s">
        <v>345</v>
      </c>
      <c r="BE1" s="79" t="s">
        <v>132</v>
      </c>
      <c r="BF1" s="79" t="s">
        <v>133</v>
      </c>
      <c r="BG1" s="79" t="s">
        <v>134</v>
      </c>
      <c r="BH1" s="79" t="s">
        <v>135</v>
      </c>
      <c r="BI1" s="79" t="s">
        <v>49</v>
      </c>
      <c r="BJ1" s="79" t="s">
        <v>366</v>
      </c>
      <c r="BK1" s="79" t="s">
        <v>50</v>
      </c>
      <c r="BL1" s="79" t="s">
        <v>194</v>
      </c>
      <c r="BM1" s="79" t="s">
        <v>195</v>
      </c>
      <c r="BN1" s="79" t="s">
        <v>196</v>
      </c>
      <c r="BO1" s="79" t="s">
        <v>197</v>
      </c>
      <c r="BP1" s="79" t="s">
        <v>198</v>
      </c>
      <c r="BQ1" s="79" t="s">
        <v>199</v>
      </c>
      <c r="BR1" s="79" t="s">
        <v>68</v>
      </c>
      <c r="BS1" s="79" t="s">
        <v>200</v>
      </c>
    </row>
    <row r="2" spans="1:71" s="38" customFormat="1" ht="22.5" x14ac:dyDescent="0.2">
      <c r="A2" s="28" t="s">
        <v>78</v>
      </c>
      <c r="B2" s="83" t="s">
        <v>80</v>
      </c>
      <c r="C2" s="83" t="s">
        <v>81</v>
      </c>
      <c r="D2" s="83" t="s">
        <v>26</v>
      </c>
      <c r="E2" s="83" t="s">
        <v>82</v>
      </c>
      <c r="F2" s="83" t="s">
        <v>83</v>
      </c>
      <c r="G2" s="83" t="s">
        <v>84</v>
      </c>
      <c r="H2" s="84" t="s">
        <v>122</v>
      </c>
      <c r="I2" s="83" t="s">
        <v>26</v>
      </c>
      <c r="J2" s="84" t="s">
        <v>122</v>
      </c>
      <c r="K2" s="83" t="s">
        <v>84</v>
      </c>
      <c r="L2" s="83" t="s">
        <v>84</v>
      </c>
      <c r="M2" s="84" t="s">
        <v>122</v>
      </c>
      <c r="N2" s="84" t="s">
        <v>122</v>
      </c>
      <c r="O2" s="83" t="s">
        <v>79</v>
      </c>
      <c r="P2" s="83" t="s">
        <v>81</v>
      </c>
      <c r="Q2" s="84" t="s">
        <v>122</v>
      </c>
      <c r="R2" s="83" t="s">
        <v>315</v>
      </c>
      <c r="S2" s="83" t="s">
        <v>315</v>
      </c>
      <c r="T2" s="83" t="s">
        <v>93</v>
      </c>
      <c r="U2" s="83" t="s">
        <v>140</v>
      </c>
      <c r="V2" s="83" t="s">
        <v>140</v>
      </c>
      <c r="W2" s="84" t="s">
        <v>122</v>
      </c>
      <c r="X2" s="83" t="s">
        <v>26</v>
      </c>
      <c r="Y2" s="84" t="s">
        <v>122</v>
      </c>
      <c r="Z2" s="84" t="s">
        <v>122</v>
      </c>
      <c r="AA2" s="84" t="s">
        <v>122</v>
      </c>
      <c r="AB2" s="84" t="s">
        <v>122</v>
      </c>
      <c r="AC2" s="84" t="s">
        <v>122</v>
      </c>
      <c r="AD2" s="84" t="s">
        <v>122</v>
      </c>
      <c r="AE2" s="84" t="s">
        <v>122</v>
      </c>
      <c r="AF2" s="84" t="s">
        <v>122</v>
      </c>
      <c r="AG2" s="84" t="s">
        <v>122</v>
      </c>
      <c r="AH2" s="84" t="s">
        <v>122</v>
      </c>
      <c r="AI2" s="84" t="s">
        <v>122</v>
      </c>
      <c r="AJ2" s="83" t="s">
        <v>111</v>
      </c>
      <c r="AK2" s="83" t="s">
        <v>112</v>
      </c>
      <c r="AL2" s="83" t="s">
        <v>846</v>
      </c>
      <c r="AM2" s="85" t="s">
        <v>122</v>
      </c>
      <c r="AN2" s="85" t="s">
        <v>122</v>
      </c>
      <c r="AO2" s="83" t="s">
        <v>123</v>
      </c>
      <c r="AP2" s="83" t="s">
        <v>123</v>
      </c>
      <c r="AQ2" s="83" t="s">
        <v>123</v>
      </c>
      <c r="AR2" s="83" t="s">
        <v>123</v>
      </c>
      <c r="AS2" s="84" t="s">
        <v>122</v>
      </c>
      <c r="AT2" s="84" t="s">
        <v>122</v>
      </c>
      <c r="AU2" s="83" t="s">
        <v>125</v>
      </c>
      <c r="AV2" s="83" t="s">
        <v>125</v>
      </c>
      <c r="AW2" s="84" t="s">
        <v>122</v>
      </c>
      <c r="AX2" s="84" t="s">
        <v>122</v>
      </c>
      <c r="AY2" s="83" t="s">
        <v>126</v>
      </c>
      <c r="AZ2" s="83" t="s">
        <v>845</v>
      </c>
      <c r="BA2" s="83" t="s">
        <v>111</v>
      </c>
      <c r="BB2" s="83" t="s">
        <v>111</v>
      </c>
      <c r="BC2" s="84" t="s">
        <v>122</v>
      </c>
      <c r="BD2" s="84" t="s">
        <v>122</v>
      </c>
      <c r="BE2" s="84" t="s">
        <v>122</v>
      </c>
      <c r="BF2" s="84" t="s">
        <v>356</v>
      </c>
      <c r="BG2" s="84" t="s">
        <v>122</v>
      </c>
      <c r="BH2" s="84" t="s">
        <v>122</v>
      </c>
      <c r="BI2" s="83" t="s">
        <v>138</v>
      </c>
      <c r="BJ2" s="84" t="s">
        <v>122</v>
      </c>
      <c r="BK2" s="83" t="s">
        <v>26</v>
      </c>
      <c r="BL2" s="83" t="s">
        <v>26</v>
      </c>
      <c r="BM2" s="83" t="s">
        <v>26</v>
      </c>
      <c r="BN2" s="83" t="s">
        <v>26</v>
      </c>
      <c r="BO2" s="83" t="s">
        <v>26</v>
      </c>
      <c r="BP2" s="83" t="s">
        <v>26</v>
      </c>
      <c r="BQ2" s="83" t="s">
        <v>26</v>
      </c>
      <c r="BR2" s="84" t="s">
        <v>122</v>
      </c>
      <c r="BS2" s="83" t="s">
        <v>26</v>
      </c>
    </row>
    <row r="3" spans="1:71" x14ac:dyDescent="0.2">
      <c r="H3" s="32" t="s">
        <v>212</v>
      </c>
      <c r="J3" s="32" t="s">
        <v>210</v>
      </c>
      <c r="M3" s="32" t="s">
        <v>216</v>
      </c>
      <c r="N3" s="32" t="s">
        <v>220</v>
      </c>
      <c r="Q3" s="32" t="s">
        <v>224</v>
      </c>
      <c r="W3" s="32" t="s">
        <v>210</v>
      </c>
      <c r="Y3" s="32" t="s">
        <v>838</v>
      </c>
      <c r="Z3" s="32" t="s">
        <v>317</v>
      </c>
      <c r="AA3" s="32" t="s">
        <v>229</v>
      </c>
      <c r="AB3" s="32" t="s">
        <v>229</v>
      </c>
      <c r="AC3" s="32" t="s">
        <v>229</v>
      </c>
      <c r="AD3" s="32" t="s">
        <v>229</v>
      </c>
      <c r="AE3" s="32" t="s">
        <v>229</v>
      </c>
      <c r="AF3" s="32" t="s">
        <v>229</v>
      </c>
      <c r="AG3" s="32" t="s">
        <v>229</v>
      </c>
      <c r="AH3" s="32" t="s">
        <v>865</v>
      </c>
      <c r="AI3" s="32" t="s">
        <v>233</v>
      </c>
      <c r="AK3" s="32" t="s">
        <v>882</v>
      </c>
      <c r="AL3" s="32" t="s">
        <v>873</v>
      </c>
      <c r="AM3" s="32" t="s">
        <v>391</v>
      </c>
      <c r="AN3" s="32" t="s">
        <v>656</v>
      </c>
      <c r="AS3" s="32" t="s">
        <v>290</v>
      </c>
      <c r="AT3" s="32" t="s">
        <v>290</v>
      </c>
      <c r="AW3" s="32" t="s">
        <v>242</v>
      </c>
      <c r="AX3" s="32" t="s">
        <v>242</v>
      </c>
      <c r="AZ3" s="32" t="s">
        <v>215</v>
      </c>
      <c r="BC3" s="32" t="s">
        <v>337</v>
      </c>
      <c r="BD3" s="32" t="s">
        <v>347</v>
      </c>
      <c r="BE3" s="32" t="s">
        <v>349</v>
      </c>
      <c r="BF3" s="32" t="s">
        <v>355</v>
      </c>
      <c r="BG3" s="32" t="s">
        <v>248</v>
      </c>
      <c r="BH3" s="32" t="s">
        <v>847</v>
      </c>
      <c r="BJ3" s="32" t="s">
        <v>388</v>
      </c>
      <c r="BQ3" s="32" t="s">
        <v>854</v>
      </c>
      <c r="BR3" s="32" t="s">
        <v>389</v>
      </c>
    </row>
    <row r="4" spans="1:71" x14ac:dyDescent="0.2">
      <c r="H4" s="32" t="s">
        <v>841</v>
      </c>
      <c r="J4" s="32" t="s">
        <v>211</v>
      </c>
      <c r="M4" s="32" t="s">
        <v>217</v>
      </c>
      <c r="N4" s="32" t="s">
        <v>221</v>
      </c>
      <c r="Q4" s="32" t="s">
        <v>225</v>
      </c>
      <c r="W4" s="32" t="s">
        <v>211</v>
      </c>
      <c r="Y4" s="32" t="s">
        <v>837</v>
      </c>
      <c r="Z4" s="32" t="s">
        <v>318</v>
      </c>
      <c r="AA4" s="32" t="s">
        <v>227</v>
      </c>
      <c r="AB4" s="32" t="s">
        <v>227</v>
      </c>
      <c r="AC4" s="32" t="s">
        <v>227</v>
      </c>
      <c r="AD4" s="32" t="s">
        <v>227</v>
      </c>
      <c r="AE4" s="32" t="s">
        <v>227</v>
      </c>
      <c r="AF4" s="32" t="s">
        <v>227</v>
      </c>
      <c r="AG4" s="32" t="s">
        <v>227</v>
      </c>
      <c r="AH4" s="32" t="s">
        <v>231</v>
      </c>
      <c r="AI4" s="32" t="s">
        <v>368</v>
      </c>
      <c r="AK4" s="32" t="s">
        <v>883</v>
      </c>
      <c r="AL4" s="32" t="s">
        <v>886</v>
      </c>
      <c r="AM4" s="32" t="s">
        <v>392</v>
      </c>
      <c r="AN4" s="32" t="s">
        <v>657</v>
      </c>
      <c r="AS4" s="32" t="s">
        <v>291</v>
      </c>
      <c r="AT4" s="32" t="s">
        <v>291</v>
      </c>
      <c r="AW4" s="32" t="s">
        <v>243</v>
      </c>
      <c r="AX4" s="32" t="s">
        <v>243</v>
      </c>
      <c r="BC4" s="32" t="s">
        <v>338</v>
      </c>
      <c r="BD4" s="32" t="s">
        <v>348</v>
      </c>
      <c r="BE4" s="32" t="s">
        <v>860</v>
      </c>
      <c r="BF4" s="32" t="s">
        <v>356</v>
      </c>
      <c r="BG4" s="32" t="s">
        <v>249</v>
      </c>
      <c r="BH4" s="32" t="s">
        <v>254</v>
      </c>
      <c r="BJ4" s="32" t="s">
        <v>287</v>
      </c>
      <c r="BQ4" s="32" t="s">
        <v>852</v>
      </c>
      <c r="BR4" s="32" t="s">
        <v>390</v>
      </c>
    </row>
    <row r="5" spans="1:71" x14ac:dyDescent="0.2">
      <c r="H5" s="32" t="s">
        <v>213</v>
      </c>
      <c r="J5" s="32" t="s">
        <v>215</v>
      </c>
      <c r="M5" s="32" t="s">
        <v>218</v>
      </c>
      <c r="N5" s="32" t="s">
        <v>222</v>
      </c>
      <c r="Q5" s="32" t="s">
        <v>226</v>
      </c>
      <c r="Y5" s="32" t="s">
        <v>842</v>
      </c>
      <c r="Z5" s="32" t="s">
        <v>246</v>
      </c>
      <c r="AA5" s="32" t="s">
        <v>228</v>
      </c>
      <c r="AB5" s="32" t="s">
        <v>228</v>
      </c>
      <c r="AC5" s="32" t="s">
        <v>228</v>
      </c>
      <c r="AD5" s="32" t="s">
        <v>228</v>
      </c>
      <c r="AE5" s="32" t="s">
        <v>228</v>
      </c>
      <c r="AF5" s="32" t="s">
        <v>228</v>
      </c>
      <c r="AG5" s="32" t="s">
        <v>228</v>
      </c>
      <c r="AH5" s="32" t="s">
        <v>232</v>
      </c>
      <c r="AI5" s="32" t="s">
        <v>234</v>
      </c>
      <c r="AK5" s="32" t="s">
        <v>884</v>
      </c>
      <c r="AL5" s="32" t="s">
        <v>874</v>
      </c>
      <c r="AM5" s="32" t="s">
        <v>393</v>
      </c>
      <c r="AN5" s="32" t="s">
        <v>658</v>
      </c>
      <c r="AS5" s="32" t="s">
        <v>293</v>
      </c>
      <c r="AT5" s="32" t="s">
        <v>293</v>
      </c>
      <c r="AW5" s="32" t="s">
        <v>244</v>
      </c>
      <c r="AX5" s="32" t="s">
        <v>244</v>
      </c>
      <c r="BC5" s="32" t="s">
        <v>339</v>
      </c>
      <c r="BD5" s="32" t="s">
        <v>859</v>
      </c>
      <c r="BE5" s="32" t="s">
        <v>861</v>
      </c>
      <c r="BF5" s="32" t="s">
        <v>357</v>
      </c>
      <c r="BG5" s="32" t="s">
        <v>250</v>
      </c>
      <c r="BH5" s="32" t="s">
        <v>255</v>
      </c>
      <c r="BJ5" s="32" t="s">
        <v>288</v>
      </c>
      <c r="BQ5" s="32" t="s">
        <v>853</v>
      </c>
    </row>
    <row r="6" spans="1:71" x14ac:dyDescent="0.2">
      <c r="H6" s="32" t="s">
        <v>214</v>
      </c>
      <c r="M6" s="32" t="s">
        <v>839</v>
      </c>
      <c r="N6" s="32" t="s">
        <v>308</v>
      </c>
      <c r="Q6" s="32" t="s">
        <v>380</v>
      </c>
      <c r="Y6" s="32" t="s">
        <v>316</v>
      </c>
      <c r="Z6" s="32" t="s">
        <v>851</v>
      </c>
      <c r="AA6" s="32" t="s">
        <v>230</v>
      </c>
      <c r="AB6" s="32" t="s">
        <v>230</v>
      </c>
      <c r="AC6" s="32" t="s">
        <v>230</v>
      </c>
      <c r="AD6" s="32" t="s">
        <v>230</v>
      </c>
      <c r="AE6" s="32" t="s">
        <v>230</v>
      </c>
      <c r="AF6" s="32" t="s">
        <v>230</v>
      </c>
      <c r="AG6" s="32" t="s">
        <v>230</v>
      </c>
      <c r="AH6" s="32" t="s">
        <v>370</v>
      </c>
      <c r="AI6" s="32" t="s">
        <v>385</v>
      </c>
      <c r="AL6" s="32" t="s">
        <v>881</v>
      </c>
      <c r="AM6" s="32" t="s">
        <v>394</v>
      </c>
      <c r="AN6" s="32" t="s">
        <v>659</v>
      </c>
      <c r="AS6" s="32" t="s">
        <v>328</v>
      </c>
      <c r="AT6" s="32" t="s">
        <v>328</v>
      </c>
      <c r="AW6" s="32" t="s">
        <v>245</v>
      </c>
      <c r="AX6" s="32" t="s">
        <v>245</v>
      </c>
      <c r="BC6" s="32" t="s">
        <v>340</v>
      </c>
      <c r="BE6" s="32" t="s">
        <v>862</v>
      </c>
      <c r="BF6" s="32" t="s">
        <v>358</v>
      </c>
      <c r="BG6" s="32" t="s">
        <v>251</v>
      </c>
      <c r="BH6" s="32" t="s">
        <v>256</v>
      </c>
      <c r="BJ6" s="32" t="s">
        <v>289</v>
      </c>
      <c r="BQ6" s="32" t="s">
        <v>855</v>
      </c>
    </row>
    <row r="7" spans="1:71" x14ac:dyDescent="0.2">
      <c r="H7" s="32" t="s">
        <v>219</v>
      </c>
      <c r="M7" s="32" t="s">
        <v>848</v>
      </c>
      <c r="N7" s="32" t="s">
        <v>223</v>
      </c>
      <c r="Q7" s="32" t="s">
        <v>219</v>
      </c>
      <c r="Y7" s="32" t="s">
        <v>215</v>
      </c>
      <c r="Z7" s="32" t="s">
        <v>215</v>
      </c>
      <c r="AA7" s="32" t="s">
        <v>215</v>
      </c>
      <c r="AB7" s="32" t="s">
        <v>215</v>
      </c>
      <c r="AC7" s="32" t="s">
        <v>215</v>
      </c>
      <c r="AD7" s="32" t="s">
        <v>215</v>
      </c>
      <c r="AE7" s="32" t="s">
        <v>215</v>
      </c>
      <c r="AF7" s="32" t="s">
        <v>215</v>
      </c>
      <c r="AG7" s="32" t="s">
        <v>215</v>
      </c>
      <c r="AH7" s="32" t="s">
        <v>371</v>
      </c>
      <c r="AI7" s="32" t="s">
        <v>386</v>
      </c>
      <c r="AK7" s="32" t="s">
        <v>885</v>
      </c>
      <c r="AL7" s="32" t="s">
        <v>875</v>
      </c>
      <c r="AM7" s="32" t="s">
        <v>395</v>
      </c>
      <c r="AN7" s="32" t="s">
        <v>660</v>
      </c>
      <c r="AS7" s="32" t="s">
        <v>329</v>
      </c>
      <c r="AT7" s="32" t="s">
        <v>329</v>
      </c>
      <c r="AW7" s="32" t="s">
        <v>375</v>
      </c>
      <c r="AX7" s="32" t="s">
        <v>375</v>
      </c>
      <c r="BC7" s="32" t="s">
        <v>341</v>
      </c>
      <c r="BE7" s="32" t="s">
        <v>863</v>
      </c>
      <c r="BF7" s="32" t="s">
        <v>359</v>
      </c>
      <c r="BG7" s="32" t="s">
        <v>252</v>
      </c>
      <c r="BH7" s="32" t="s">
        <v>257</v>
      </c>
      <c r="BJ7" s="32" t="s">
        <v>219</v>
      </c>
      <c r="BQ7" s="32" t="s">
        <v>856</v>
      </c>
    </row>
    <row r="8" spans="1:71" x14ac:dyDescent="0.2">
      <c r="B8" s="44"/>
      <c r="H8" s="32" t="s">
        <v>215</v>
      </c>
      <c r="M8" s="32" t="s">
        <v>373</v>
      </c>
      <c r="N8" s="32" t="s">
        <v>309</v>
      </c>
      <c r="Q8" s="32" t="s">
        <v>215</v>
      </c>
      <c r="AH8" s="32" t="s">
        <v>219</v>
      </c>
      <c r="AI8" s="32" t="s">
        <v>322</v>
      </c>
      <c r="AL8" s="32" t="s">
        <v>876</v>
      </c>
      <c r="AM8" s="32" t="s">
        <v>396</v>
      </c>
      <c r="AN8" s="32" t="s">
        <v>661</v>
      </c>
      <c r="AS8" s="32" t="s">
        <v>330</v>
      </c>
      <c r="AT8" s="32" t="s">
        <v>330</v>
      </c>
      <c r="AW8" s="32" t="s">
        <v>849</v>
      </c>
      <c r="AX8" s="32" t="s">
        <v>849</v>
      </c>
      <c r="BC8" s="32" t="s">
        <v>342</v>
      </c>
      <c r="BE8" s="32" t="s">
        <v>850</v>
      </c>
      <c r="BF8" s="32" t="s">
        <v>219</v>
      </c>
      <c r="BG8" s="32" t="s">
        <v>253</v>
      </c>
      <c r="BH8" s="32" t="s">
        <v>258</v>
      </c>
      <c r="BJ8" s="32" t="s">
        <v>215</v>
      </c>
      <c r="BQ8" s="32" t="s">
        <v>857</v>
      </c>
    </row>
    <row r="9" spans="1:71" x14ac:dyDescent="0.2">
      <c r="M9" s="32" t="s">
        <v>374</v>
      </c>
      <c r="N9" s="32" t="s">
        <v>217</v>
      </c>
      <c r="AH9" s="32" t="s">
        <v>215</v>
      </c>
      <c r="AI9" s="32" t="s">
        <v>372</v>
      </c>
      <c r="AK9" s="32" t="s">
        <v>890</v>
      </c>
      <c r="AM9" s="32" t="s">
        <v>397</v>
      </c>
      <c r="AN9" s="32" t="s">
        <v>662</v>
      </c>
      <c r="AS9" s="32" t="s">
        <v>236</v>
      </c>
      <c r="AT9" s="32" t="s">
        <v>236</v>
      </c>
      <c r="AW9" s="32" t="s">
        <v>215</v>
      </c>
      <c r="AX9" s="32" t="s">
        <v>215</v>
      </c>
      <c r="BC9" s="32" t="s">
        <v>343</v>
      </c>
      <c r="BE9" s="32" t="s">
        <v>247</v>
      </c>
      <c r="BF9" s="32" t="s">
        <v>215</v>
      </c>
      <c r="BG9" s="32" t="s">
        <v>360</v>
      </c>
      <c r="BH9" s="32" t="s">
        <v>259</v>
      </c>
      <c r="BQ9" s="32" t="s">
        <v>858</v>
      </c>
    </row>
    <row r="10" spans="1:71" x14ac:dyDescent="0.2">
      <c r="M10" s="32" t="s">
        <v>840</v>
      </c>
      <c r="N10" s="32" t="s">
        <v>218</v>
      </c>
      <c r="AI10" s="32" t="s">
        <v>369</v>
      </c>
      <c r="AK10" s="32" t="s">
        <v>887</v>
      </c>
      <c r="AL10" s="32" t="s">
        <v>877</v>
      </c>
      <c r="AM10" s="32" t="s">
        <v>398</v>
      </c>
      <c r="AN10" s="32" t="s">
        <v>663</v>
      </c>
      <c r="AS10" s="32" t="s">
        <v>292</v>
      </c>
      <c r="AT10" s="32" t="s">
        <v>292</v>
      </c>
      <c r="AW10" s="32" t="s">
        <v>246</v>
      </c>
      <c r="AX10" s="32" t="s">
        <v>246</v>
      </c>
      <c r="BC10" s="32" t="s">
        <v>344</v>
      </c>
      <c r="BE10" s="32" t="s">
        <v>350</v>
      </c>
      <c r="BG10" s="32" t="s">
        <v>361</v>
      </c>
      <c r="BH10" s="32" t="s">
        <v>260</v>
      </c>
    </row>
    <row r="11" spans="1:71" x14ac:dyDescent="0.2">
      <c r="B11" s="44"/>
      <c r="M11" s="32" t="s">
        <v>219</v>
      </c>
      <c r="N11" s="32" t="s">
        <v>219</v>
      </c>
      <c r="AI11" s="32" t="s">
        <v>323</v>
      </c>
      <c r="AK11" s="32" t="s">
        <v>888</v>
      </c>
      <c r="AM11" s="32" t="s">
        <v>399</v>
      </c>
      <c r="AN11" s="32" t="s">
        <v>664</v>
      </c>
      <c r="AS11" s="32" t="s">
        <v>383</v>
      </c>
      <c r="AT11" s="32" t="s">
        <v>383</v>
      </c>
      <c r="BC11" s="32" t="s">
        <v>219</v>
      </c>
      <c r="BE11" s="32" t="s">
        <v>351</v>
      </c>
      <c r="BG11" s="32" t="s">
        <v>362</v>
      </c>
      <c r="BH11" s="32" t="s">
        <v>261</v>
      </c>
    </row>
    <row r="12" spans="1:71" x14ac:dyDescent="0.2">
      <c r="M12" s="32" t="s">
        <v>215</v>
      </c>
      <c r="N12" s="32" t="s">
        <v>215</v>
      </c>
      <c r="AI12" s="32" t="s">
        <v>324</v>
      </c>
      <c r="AL12" s="32" t="s">
        <v>878</v>
      </c>
      <c r="AM12" s="32" t="s">
        <v>400</v>
      </c>
      <c r="AN12" s="32" t="s">
        <v>665</v>
      </c>
      <c r="AS12" s="32" t="s">
        <v>384</v>
      </c>
      <c r="AT12" s="32" t="s">
        <v>384</v>
      </c>
      <c r="BC12" s="32" t="s">
        <v>215</v>
      </c>
      <c r="BE12" s="32" t="s">
        <v>352</v>
      </c>
      <c r="BG12" s="32" t="s">
        <v>215</v>
      </c>
      <c r="BH12" s="32" t="s">
        <v>262</v>
      </c>
    </row>
    <row r="13" spans="1:71" x14ac:dyDescent="0.2">
      <c r="B13" s="44"/>
      <c r="AI13" s="32" t="s">
        <v>235</v>
      </c>
      <c r="AK13" s="32" t="s">
        <v>889</v>
      </c>
      <c r="AM13" s="32" t="s">
        <v>401</v>
      </c>
      <c r="AN13" s="32" t="s">
        <v>666</v>
      </c>
      <c r="AS13" s="32" t="s">
        <v>331</v>
      </c>
      <c r="AT13" s="32" t="s">
        <v>331</v>
      </c>
      <c r="BE13" s="32" t="s">
        <v>864</v>
      </c>
      <c r="BH13" s="32" t="s">
        <v>263</v>
      </c>
    </row>
    <row r="14" spans="1:71" x14ac:dyDescent="0.2">
      <c r="B14" s="44"/>
      <c r="D14" s="44"/>
      <c r="AI14" s="32" t="s">
        <v>219</v>
      </c>
      <c r="AL14" s="32" t="s">
        <v>879</v>
      </c>
      <c r="AM14" s="32" t="s">
        <v>402</v>
      </c>
      <c r="AN14" s="32" t="s">
        <v>667</v>
      </c>
      <c r="AS14" s="32" t="s">
        <v>332</v>
      </c>
      <c r="AT14" s="32" t="s">
        <v>332</v>
      </c>
      <c r="BE14" s="32" t="s">
        <v>353</v>
      </c>
      <c r="BH14" s="32" t="s">
        <v>264</v>
      </c>
    </row>
    <row r="15" spans="1:71" x14ac:dyDescent="0.2">
      <c r="AI15" s="32" t="s">
        <v>215</v>
      </c>
      <c r="AM15" s="32" t="s">
        <v>403</v>
      </c>
      <c r="AN15" s="32" t="s">
        <v>668</v>
      </c>
      <c r="AS15" s="32" t="s">
        <v>333</v>
      </c>
      <c r="AT15" s="32" t="s">
        <v>333</v>
      </c>
      <c r="BE15" s="32" t="s">
        <v>354</v>
      </c>
      <c r="BH15" s="32" t="s">
        <v>265</v>
      </c>
    </row>
    <row r="16" spans="1:71" x14ac:dyDescent="0.2">
      <c r="AL16" s="32" t="s">
        <v>880</v>
      </c>
      <c r="AM16" s="32" t="s">
        <v>404</v>
      </c>
      <c r="AN16" s="32" t="s">
        <v>669</v>
      </c>
      <c r="AS16" s="32" t="s">
        <v>237</v>
      </c>
      <c r="AT16" s="32" t="s">
        <v>237</v>
      </c>
      <c r="BE16" s="32" t="s">
        <v>215</v>
      </c>
      <c r="BH16" s="32" t="s">
        <v>266</v>
      </c>
    </row>
    <row r="17" spans="2:60" x14ac:dyDescent="0.2">
      <c r="D17" s="44"/>
      <c r="AM17" s="32" t="s">
        <v>405</v>
      </c>
      <c r="AN17" s="32" t="s">
        <v>670</v>
      </c>
      <c r="AS17" s="32" t="s">
        <v>238</v>
      </c>
      <c r="AT17" s="32" t="s">
        <v>238</v>
      </c>
      <c r="BH17" s="32" t="s">
        <v>267</v>
      </c>
    </row>
    <row r="18" spans="2:60" x14ac:dyDescent="0.2">
      <c r="B18" s="44"/>
      <c r="AM18" s="32" t="s">
        <v>406</v>
      </c>
      <c r="AN18" s="32" t="s">
        <v>671</v>
      </c>
      <c r="AS18" s="32" t="s">
        <v>239</v>
      </c>
      <c r="AT18" s="32" t="s">
        <v>239</v>
      </c>
      <c r="BH18" s="32" t="s">
        <v>268</v>
      </c>
    </row>
    <row r="19" spans="2:60" x14ac:dyDescent="0.2">
      <c r="D19" s="44"/>
      <c r="AM19" s="32" t="s">
        <v>407</v>
      </c>
      <c r="AN19" s="32" t="s">
        <v>672</v>
      </c>
      <c r="AS19" s="32" t="s">
        <v>240</v>
      </c>
      <c r="AT19" s="32" t="s">
        <v>240</v>
      </c>
      <c r="BH19" s="32" t="s">
        <v>269</v>
      </c>
    </row>
    <row r="20" spans="2:60" x14ac:dyDescent="0.2">
      <c r="D20" s="44"/>
      <c r="AM20" s="32" t="s">
        <v>408</v>
      </c>
      <c r="AN20" s="32" t="s">
        <v>673</v>
      </c>
      <c r="AS20" s="32" t="s">
        <v>367</v>
      </c>
      <c r="AT20" s="32" t="s">
        <v>367</v>
      </c>
      <c r="BH20" s="32" t="s">
        <v>378</v>
      </c>
    </row>
    <row r="21" spans="2:60" x14ac:dyDescent="0.2">
      <c r="AM21" s="32" t="s">
        <v>409</v>
      </c>
      <c r="AN21" s="32" t="s">
        <v>674</v>
      </c>
      <c r="AS21" s="32" t="s">
        <v>334</v>
      </c>
      <c r="AT21" s="32" t="s">
        <v>334</v>
      </c>
      <c r="BH21" s="32" t="s">
        <v>270</v>
      </c>
    </row>
    <row r="22" spans="2:60" x14ac:dyDescent="0.2">
      <c r="AM22" s="32" t="s">
        <v>410</v>
      </c>
      <c r="AN22" s="32" t="s">
        <v>675</v>
      </c>
      <c r="AS22" s="32" t="s">
        <v>335</v>
      </c>
      <c r="AT22" s="32" t="s">
        <v>335</v>
      </c>
      <c r="BH22" s="32" t="s">
        <v>271</v>
      </c>
    </row>
    <row r="23" spans="2:60" x14ac:dyDescent="0.2">
      <c r="AM23" s="32" t="s">
        <v>411</v>
      </c>
      <c r="AN23" s="32" t="s">
        <v>676</v>
      </c>
      <c r="AS23" s="32" t="s">
        <v>382</v>
      </c>
      <c r="AT23" s="32" t="s">
        <v>382</v>
      </c>
      <c r="BH23" s="32" t="s">
        <v>272</v>
      </c>
    </row>
    <row r="24" spans="2:60" x14ac:dyDescent="0.2">
      <c r="B24" s="44"/>
      <c r="D24" s="44"/>
      <c r="AM24" s="32" t="s">
        <v>412</v>
      </c>
      <c r="AN24" s="32" t="s">
        <v>677</v>
      </c>
      <c r="AS24" s="32" t="s">
        <v>381</v>
      </c>
      <c r="AT24" s="32" t="s">
        <v>381</v>
      </c>
      <c r="BH24" s="32" t="s">
        <v>273</v>
      </c>
    </row>
    <row r="25" spans="2:60" x14ac:dyDescent="0.2">
      <c r="B25" s="44"/>
      <c r="AM25" s="32" t="s">
        <v>413</v>
      </c>
      <c r="AN25" s="32" t="s">
        <v>678</v>
      </c>
      <c r="AS25" s="32" t="s">
        <v>241</v>
      </c>
      <c r="AT25" s="32" t="s">
        <v>215</v>
      </c>
      <c r="BH25" s="32" t="s">
        <v>274</v>
      </c>
    </row>
    <row r="26" spans="2:60" x14ac:dyDescent="0.2">
      <c r="B26" s="44"/>
      <c r="AM26" s="32" t="s">
        <v>414</v>
      </c>
      <c r="AN26" s="32" t="s">
        <v>679</v>
      </c>
      <c r="AS26" s="32" t="s">
        <v>215</v>
      </c>
      <c r="AT26" s="32" t="s">
        <v>219</v>
      </c>
      <c r="BH26" s="32" t="s">
        <v>275</v>
      </c>
    </row>
    <row r="27" spans="2:60" x14ac:dyDescent="0.2">
      <c r="B27" s="44"/>
      <c r="AM27" s="32" t="s">
        <v>415</v>
      </c>
      <c r="AN27" s="32" t="s">
        <v>680</v>
      </c>
      <c r="AS27" s="32" t="s">
        <v>219</v>
      </c>
      <c r="BH27" s="32" t="s">
        <v>276</v>
      </c>
    </row>
    <row r="28" spans="2:60" x14ac:dyDescent="0.2">
      <c r="B28" s="44"/>
      <c r="AM28" s="32" t="s">
        <v>416</v>
      </c>
      <c r="AN28" s="32" t="s">
        <v>681</v>
      </c>
      <c r="BH28" s="32" t="s">
        <v>277</v>
      </c>
    </row>
    <row r="29" spans="2:60" x14ac:dyDescent="0.2">
      <c r="B29" s="44"/>
      <c r="AM29" s="32" t="s">
        <v>417</v>
      </c>
      <c r="AN29" s="32" t="s">
        <v>682</v>
      </c>
      <c r="BH29" s="32" t="s">
        <v>379</v>
      </c>
    </row>
    <row r="30" spans="2:60" x14ac:dyDescent="0.2">
      <c r="B30" s="44"/>
      <c r="D30" s="44"/>
      <c r="AM30" s="32" t="s">
        <v>418</v>
      </c>
      <c r="AN30" s="32" t="s">
        <v>683</v>
      </c>
      <c r="BH30" s="32" t="s">
        <v>387</v>
      </c>
    </row>
    <row r="31" spans="2:60" x14ac:dyDescent="0.2">
      <c r="B31" s="44"/>
      <c r="D31" s="44"/>
      <c r="AM31" s="32" t="s">
        <v>419</v>
      </c>
      <c r="AN31" s="32" t="s">
        <v>684</v>
      </c>
      <c r="BH31" s="32" t="s">
        <v>376</v>
      </c>
    </row>
    <row r="32" spans="2:60" x14ac:dyDescent="0.2">
      <c r="B32" s="44"/>
      <c r="D32" s="44"/>
      <c r="AM32" s="32" t="s">
        <v>420</v>
      </c>
      <c r="AN32" s="32" t="s">
        <v>685</v>
      </c>
      <c r="BH32" s="32" t="s">
        <v>278</v>
      </c>
    </row>
    <row r="33" spans="2:60" x14ac:dyDescent="0.2">
      <c r="B33" s="44"/>
      <c r="D33" s="44"/>
      <c r="AM33" s="32" t="s">
        <v>421</v>
      </c>
      <c r="AN33" s="32" t="s">
        <v>686</v>
      </c>
      <c r="BH33" s="32" t="s">
        <v>279</v>
      </c>
    </row>
    <row r="34" spans="2:60" x14ac:dyDescent="0.2">
      <c r="B34" s="44"/>
      <c r="D34" s="44"/>
      <c r="AM34" s="32" t="s">
        <v>422</v>
      </c>
      <c r="AN34" s="32" t="s">
        <v>687</v>
      </c>
      <c r="BH34" s="32" t="s">
        <v>280</v>
      </c>
    </row>
    <row r="35" spans="2:60" x14ac:dyDescent="0.2">
      <c r="B35" s="44"/>
      <c r="D35" s="44"/>
      <c r="AM35" s="32" t="s">
        <v>423</v>
      </c>
      <c r="AN35" s="32" t="s">
        <v>688</v>
      </c>
      <c r="BH35" s="32" t="s">
        <v>281</v>
      </c>
    </row>
    <row r="36" spans="2:60" x14ac:dyDescent="0.2">
      <c r="D36" s="44"/>
      <c r="AM36" s="32" t="s">
        <v>424</v>
      </c>
      <c r="AN36" s="32" t="s">
        <v>689</v>
      </c>
      <c r="BH36" s="32" t="s">
        <v>282</v>
      </c>
    </row>
    <row r="37" spans="2:60" x14ac:dyDescent="0.2">
      <c r="D37" s="44"/>
      <c r="AM37" s="32" t="s">
        <v>425</v>
      </c>
      <c r="AN37" s="32" t="s">
        <v>690</v>
      </c>
      <c r="BH37" s="32" t="s">
        <v>283</v>
      </c>
    </row>
    <row r="38" spans="2:60" x14ac:dyDescent="0.2">
      <c r="D38" s="44"/>
      <c r="AM38" s="32" t="s">
        <v>426</v>
      </c>
      <c r="AN38" s="32" t="s">
        <v>691</v>
      </c>
      <c r="BH38" s="32" t="s">
        <v>284</v>
      </c>
    </row>
    <row r="39" spans="2:60" x14ac:dyDescent="0.2">
      <c r="D39" s="44"/>
      <c r="AM39" s="32" t="s">
        <v>427</v>
      </c>
      <c r="AN39" s="32" t="s">
        <v>692</v>
      </c>
      <c r="BH39" s="32" t="s">
        <v>285</v>
      </c>
    </row>
    <row r="40" spans="2:60" x14ac:dyDescent="0.2">
      <c r="D40" s="44"/>
      <c r="AM40" s="32" t="s">
        <v>428</v>
      </c>
      <c r="AN40" s="32" t="s">
        <v>693</v>
      </c>
      <c r="BH40" s="32" t="s">
        <v>286</v>
      </c>
    </row>
    <row r="41" spans="2:60" x14ac:dyDescent="0.2">
      <c r="D41" s="44"/>
      <c r="AM41" s="32" t="s">
        <v>429</v>
      </c>
      <c r="AN41" s="32" t="s">
        <v>694</v>
      </c>
      <c r="BH41" s="32" t="s">
        <v>365</v>
      </c>
    </row>
    <row r="42" spans="2:60" x14ac:dyDescent="0.2">
      <c r="AM42" s="32" t="s">
        <v>430</v>
      </c>
      <c r="AN42" s="32" t="s">
        <v>695</v>
      </c>
      <c r="BH42" s="32" t="s">
        <v>219</v>
      </c>
    </row>
    <row r="43" spans="2:60" x14ac:dyDescent="0.2">
      <c r="AM43" s="32" t="s">
        <v>431</v>
      </c>
      <c r="AN43" s="32" t="s">
        <v>696</v>
      </c>
      <c r="BH43" s="32" t="s">
        <v>215</v>
      </c>
    </row>
    <row r="44" spans="2:60" x14ac:dyDescent="0.2">
      <c r="B44" s="44"/>
      <c r="AM44" s="32" t="s">
        <v>432</v>
      </c>
      <c r="AN44" s="32" t="s">
        <v>697</v>
      </c>
    </row>
    <row r="45" spans="2:60" x14ac:dyDescent="0.2">
      <c r="B45" s="44"/>
      <c r="AM45" s="32" t="s">
        <v>433</v>
      </c>
      <c r="AN45" s="32" t="s">
        <v>698</v>
      </c>
    </row>
    <row r="46" spans="2:60" x14ac:dyDescent="0.2">
      <c r="AM46" s="32" t="s">
        <v>434</v>
      </c>
      <c r="AN46" s="32" t="s">
        <v>699</v>
      </c>
    </row>
    <row r="47" spans="2:60" x14ac:dyDescent="0.2">
      <c r="AM47" s="32" t="s">
        <v>435</v>
      </c>
      <c r="AN47" s="32" t="s">
        <v>700</v>
      </c>
    </row>
    <row r="48" spans="2:60" x14ac:dyDescent="0.2">
      <c r="B48" s="44"/>
      <c r="AM48" s="32" t="s">
        <v>436</v>
      </c>
      <c r="AN48" s="32" t="s">
        <v>701</v>
      </c>
    </row>
    <row r="49" spans="2:40" x14ac:dyDescent="0.2">
      <c r="B49" s="44"/>
      <c r="AM49" s="32" t="s">
        <v>437</v>
      </c>
      <c r="AN49" s="32" t="s">
        <v>702</v>
      </c>
    </row>
    <row r="50" spans="2:40" x14ac:dyDescent="0.2">
      <c r="D50" s="44"/>
      <c r="AM50" s="32" t="s">
        <v>438</v>
      </c>
      <c r="AN50" s="32" t="s">
        <v>703</v>
      </c>
    </row>
    <row r="51" spans="2:40" x14ac:dyDescent="0.2">
      <c r="D51" s="44"/>
      <c r="AM51" s="32" t="s">
        <v>439</v>
      </c>
      <c r="AN51" s="32" t="s">
        <v>704</v>
      </c>
    </row>
    <row r="52" spans="2:40" x14ac:dyDescent="0.2">
      <c r="AM52" s="32" t="s">
        <v>440</v>
      </c>
      <c r="AN52" s="32" t="s">
        <v>705</v>
      </c>
    </row>
    <row r="53" spans="2:40" x14ac:dyDescent="0.2">
      <c r="AM53" s="32" t="s">
        <v>441</v>
      </c>
      <c r="AN53" s="32" t="s">
        <v>706</v>
      </c>
    </row>
    <row r="54" spans="2:40" x14ac:dyDescent="0.2">
      <c r="B54" s="44"/>
      <c r="D54" s="44"/>
      <c r="AM54" s="32" t="s">
        <v>442</v>
      </c>
      <c r="AN54" s="32" t="s">
        <v>707</v>
      </c>
    </row>
    <row r="55" spans="2:40" x14ac:dyDescent="0.2">
      <c r="B55" s="44"/>
      <c r="D55" s="44"/>
      <c r="AM55" s="32" t="s">
        <v>443</v>
      </c>
      <c r="AN55" s="32" t="s">
        <v>708</v>
      </c>
    </row>
    <row r="56" spans="2:40" x14ac:dyDescent="0.2">
      <c r="B56" s="44"/>
      <c r="AM56" s="32" t="s">
        <v>444</v>
      </c>
      <c r="AN56" s="32" t="s">
        <v>709</v>
      </c>
    </row>
    <row r="57" spans="2:40" x14ac:dyDescent="0.2">
      <c r="B57" s="44"/>
      <c r="AM57" s="32" t="s">
        <v>445</v>
      </c>
      <c r="AN57" s="32" t="s">
        <v>710</v>
      </c>
    </row>
    <row r="58" spans="2:40" x14ac:dyDescent="0.2">
      <c r="B58" s="44"/>
      <c r="AM58" s="32" t="s">
        <v>446</v>
      </c>
      <c r="AN58" s="32" t="s">
        <v>711</v>
      </c>
    </row>
    <row r="59" spans="2:40" x14ac:dyDescent="0.2">
      <c r="AM59" s="32" t="s">
        <v>447</v>
      </c>
      <c r="AN59" s="32" t="s">
        <v>712</v>
      </c>
    </row>
    <row r="60" spans="2:40" x14ac:dyDescent="0.2">
      <c r="B60" s="44"/>
      <c r="D60" s="44"/>
      <c r="AM60" s="32" t="s">
        <v>448</v>
      </c>
      <c r="AN60" s="32" t="s">
        <v>713</v>
      </c>
    </row>
    <row r="61" spans="2:40" x14ac:dyDescent="0.2">
      <c r="D61" s="44"/>
      <c r="AM61" s="32" t="s">
        <v>449</v>
      </c>
      <c r="AN61" s="32" t="s">
        <v>714</v>
      </c>
    </row>
    <row r="62" spans="2:40" x14ac:dyDescent="0.2">
      <c r="D62" s="44"/>
      <c r="AM62" s="32" t="s">
        <v>450</v>
      </c>
      <c r="AN62" s="32" t="s">
        <v>715</v>
      </c>
    </row>
    <row r="63" spans="2:40" x14ac:dyDescent="0.2">
      <c r="D63" s="44"/>
      <c r="AM63" s="32" t="s">
        <v>451</v>
      </c>
      <c r="AN63" s="32" t="s">
        <v>716</v>
      </c>
    </row>
    <row r="64" spans="2:40" x14ac:dyDescent="0.2">
      <c r="D64" s="44"/>
      <c r="AM64" s="32" t="s">
        <v>452</v>
      </c>
      <c r="AN64" s="32" t="s">
        <v>717</v>
      </c>
    </row>
    <row r="65" spans="4:40" x14ac:dyDescent="0.2">
      <c r="AM65" s="32" t="s">
        <v>453</v>
      </c>
      <c r="AN65" s="32" t="s">
        <v>718</v>
      </c>
    </row>
    <row r="66" spans="4:40" x14ac:dyDescent="0.2">
      <c r="D66" s="44"/>
      <c r="AM66" s="32" t="s">
        <v>454</v>
      </c>
      <c r="AN66" s="32" t="s">
        <v>719</v>
      </c>
    </row>
    <row r="67" spans="4:40" x14ac:dyDescent="0.2">
      <c r="AM67" s="32" t="s">
        <v>455</v>
      </c>
      <c r="AN67" s="32" t="s">
        <v>720</v>
      </c>
    </row>
    <row r="68" spans="4:40" x14ac:dyDescent="0.2">
      <c r="AM68" s="32" t="s">
        <v>456</v>
      </c>
      <c r="AN68" s="32" t="s">
        <v>721</v>
      </c>
    </row>
    <row r="69" spans="4:40" x14ac:dyDescent="0.2">
      <c r="AM69" s="32" t="s">
        <v>457</v>
      </c>
      <c r="AN69" s="32" t="s">
        <v>722</v>
      </c>
    </row>
    <row r="70" spans="4:40" x14ac:dyDescent="0.2">
      <c r="AM70" s="32" t="s">
        <v>458</v>
      </c>
      <c r="AN70" s="32" t="s">
        <v>723</v>
      </c>
    </row>
    <row r="71" spans="4:40" x14ac:dyDescent="0.2">
      <c r="AM71" s="32" t="s">
        <v>459</v>
      </c>
      <c r="AN71" s="32" t="s">
        <v>724</v>
      </c>
    </row>
    <row r="72" spans="4:40" x14ac:dyDescent="0.2">
      <c r="AM72" s="32" t="s">
        <v>460</v>
      </c>
      <c r="AN72" s="32" t="s">
        <v>725</v>
      </c>
    </row>
    <row r="73" spans="4:40" x14ac:dyDescent="0.2">
      <c r="AM73" s="32" t="s">
        <v>461</v>
      </c>
      <c r="AN73" s="32" t="s">
        <v>726</v>
      </c>
    </row>
    <row r="74" spans="4:40" x14ac:dyDescent="0.2">
      <c r="AM74" s="32" t="s">
        <v>462</v>
      </c>
      <c r="AN74" s="32" t="s">
        <v>727</v>
      </c>
    </row>
    <row r="75" spans="4:40" x14ac:dyDescent="0.2">
      <c r="AM75" s="32" t="s">
        <v>463</v>
      </c>
      <c r="AN75" s="32" t="s">
        <v>728</v>
      </c>
    </row>
    <row r="76" spans="4:40" x14ac:dyDescent="0.2">
      <c r="AM76" s="32" t="s">
        <v>464</v>
      </c>
      <c r="AN76" s="32" t="s">
        <v>729</v>
      </c>
    </row>
    <row r="77" spans="4:40" x14ac:dyDescent="0.2">
      <c r="AM77" s="32" t="s">
        <v>465</v>
      </c>
      <c r="AN77" s="32" t="s">
        <v>730</v>
      </c>
    </row>
    <row r="78" spans="4:40" x14ac:dyDescent="0.2">
      <c r="AM78" s="32" t="s">
        <v>466</v>
      </c>
      <c r="AN78" s="32" t="s">
        <v>731</v>
      </c>
    </row>
    <row r="79" spans="4:40" x14ac:dyDescent="0.2">
      <c r="AM79" s="32" t="s">
        <v>467</v>
      </c>
      <c r="AN79" s="32" t="s">
        <v>732</v>
      </c>
    </row>
    <row r="80" spans="4:40" x14ac:dyDescent="0.2">
      <c r="AM80" s="32" t="s">
        <v>468</v>
      </c>
      <c r="AN80" s="32" t="s">
        <v>733</v>
      </c>
    </row>
    <row r="81" spans="39:40" x14ac:dyDescent="0.2">
      <c r="AM81" s="32" t="s">
        <v>469</v>
      </c>
      <c r="AN81" s="32" t="s">
        <v>734</v>
      </c>
    </row>
    <row r="82" spans="39:40" x14ac:dyDescent="0.2">
      <c r="AM82" s="32" t="s">
        <v>470</v>
      </c>
      <c r="AN82" s="32" t="s">
        <v>735</v>
      </c>
    </row>
    <row r="83" spans="39:40" x14ac:dyDescent="0.2">
      <c r="AM83" s="32" t="s">
        <v>471</v>
      </c>
      <c r="AN83" s="32" t="s">
        <v>736</v>
      </c>
    </row>
    <row r="84" spans="39:40" x14ac:dyDescent="0.2">
      <c r="AM84" s="32" t="s">
        <v>472</v>
      </c>
      <c r="AN84" s="32" t="s">
        <v>737</v>
      </c>
    </row>
    <row r="85" spans="39:40" x14ac:dyDescent="0.2">
      <c r="AM85" s="32" t="s">
        <v>473</v>
      </c>
      <c r="AN85" s="32" t="s">
        <v>738</v>
      </c>
    </row>
    <row r="86" spans="39:40" x14ac:dyDescent="0.2">
      <c r="AM86" s="32" t="s">
        <v>474</v>
      </c>
      <c r="AN86" s="32" t="s">
        <v>739</v>
      </c>
    </row>
    <row r="87" spans="39:40" x14ac:dyDescent="0.2">
      <c r="AM87" s="32" t="s">
        <v>475</v>
      </c>
      <c r="AN87" s="32" t="s">
        <v>740</v>
      </c>
    </row>
    <row r="88" spans="39:40" x14ac:dyDescent="0.2">
      <c r="AM88" s="32" t="s">
        <v>476</v>
      </c>
      <c r="AN88" s="32" t="s">
        <v>741</v>
      </c>
    </row>
    <row r="89" spans="39:40" x14ac:dyDescent="0.2">
      <c r="AM89" s="32" t="s">
        <v>477</v>
      </c>
      <c r="AN89" s="32" t="s">
        <v>742</v>
      </c>
    </row>
    <row r="90" spans="39:40" x14ac:dyDescent="0.2">
      <c r="AM90" s="32" t="s">
        <v>478</v>
      </c>
      <c r="AN90" s="32" t="s">
        <v>743</v>
      </c>
    </row>
    <row r="91" spans="39:40" x14ac:dyDescent="0.2">
      <c r="AM91" s="32" t="s">
        <v>479</v>
      </c>
      <c r="AN91" s="32" t="s">
        <v>744</v>
      </c>
    </row>
    <row r="92" spans="39:40" x14ac:dyDescent="0.2">
      <c r="AM92" s="32" t="s">
        <v>480</v>
      </c>
      <c r="AN92" s="32" t="s">
        <v>745</v>
      </c>
    </row>
    <row r="93" spans="39:40" x14ac:dyDescent="0.2">
      <c r="AM93" s="32" t="s">
        <v>481</v>
      </c>
      <c r="AN93" s="32" t="s">
        <v>746</v>
      </c>
    </row>
    <row r="94" spans="39:40" x14ac:dyDescent="0.2">
      <c r="AM94" s="32" t="s">
        <v>482</v>
      </c>
      <c r="AN94" s="32" t="s">
        <v>747</v>
      </c>
    </row>
    <row r="95" spans="39:40" x14ac:dyDescent="0.2">
      <c r="AM95" s="32" t="s">
        <v>483</v>
      </c>
      <c r="AN95" s="32" t="s">
        <v>748</v>
      </c>
    </row>
    <row r="96" spans="39:40" x14ac:dyDescent="0.2">
      <c r="AM96" s="32" t="s">
        <v>484</v>
      </c>
      <c r="AN96" s="32" t="s">
        <v>749</v>
      </c>
    </row>
    <row r="97" spans="38:40" x14ac:dyDescent="0.2">
      <c r="AM97" s="32" t="s">
        <v>485</v>
      </c>
      <c r="AN97" s="32" t="s">
        <v>750</v>
      </c>
    </row>
    <row r="98" spans="38:40" x14ac:dyDescent="0.2">
      <c r="AM98" s="32" t="s">
        <v>486</v>
      </c>
      <c r="AN98" s="32" t="s">
        <v>751</v>
      </c>
    </row>
    <row r="99" spans="38:40" x14ac:dyDescent="0.2">
      <c r="AM99" s="32" t="s">
        <v>487</v>
      </c>
      <c r="AN99" s="32" t="s">
        <v>752</v>
      </c>
    </row>
    <row r="100" spans="38:40" x14ac:dyDescent="0.2">
      <c r="AM100" s="32" t="s">
        <v>488</v>
      </c>
      <c r="AN100" s="32" t="s">
        <v>753</v>
      </c>
    </row>
    <row r="101" spans="38:40" x14ac:dyDescent="0.2">
      <c r="AM101" s="32" t="s">
        <v>489</v>
      </c>
      <c r="AN101" s="32" t="s">
        <v>754</v>
      </c>
    </row>
    <row r="102" spans="38:40" x14ac:dyDescent="0.2">
      <c r="AM102" s="32" t="s">
        <v>490</v>
      </c>
      <c r="AN102" s="32" t="s">
        <v>755</v>
      </c>
    </row>
    <row r="103" spans="38:40" x14ac:dyDescent="0.2">
      <c r="AM103" s="32" t="s">
        <v>491</v>
      </c>
      <c r="AN103" s="32" t="s">
        <v>756</v>
      </c>
    </row>
    <row r="104" spans="38:40" x14ac:dyDescent="0.2">
      <c r="AM104" s="32" t="s">
        <v>492</v>
      </c>
      <c r="AN104" s="32" t="s">
        <v>757</v>
      </c>
    </row>
    <row r="105" spans="38:40" x14ac:dyDescent="0.2">
      <c r="AM105" s="32" t="s">
        <v>493</v>
      </c>
      <c r="AN105" s="32" t="s">
        <v>758</v>
      </c>
    </row>
    <row r="106" spans="38:40" x14ac:dyDescent="0.2">
      <c r="AM106" s="32" t="s">
        <v>494</v>
      </c>
      <c r="AN106" s="32" t="s">
        <v>759</v>
      </c>
    </row>
    <row r="107" spans="38:40" x14ac:dyDescent="0.2">
      <c r="AM107" s="32" t="s">
        <v>495</v>
      </c>
      <c r="AN107" s="32" t="s">
        <v>760</v>
      </c>
    </row>
    <row r="108" spans="38:40" x14ac:dyDescent="0.2">
      <c r="AL108" s="32" t="s">
        <v>872</v>
      </c>
      <c r="AM108" s="32" t="s">
        <v>496</v>
      </c>
      <c r="AN108" s="32" t="s">
        <v>761</v>
      </c>
    </row>
    <row r="109" spans="38:40" x14ac:dyDescent="0.2">
      <c r="AM109" s="32" t="s">
        <v>497</v>
      </c>
      <c r="AN109" s="32" t="s">
        <v>762</v>
      </c>
    </row>
    <row r="110" spans="38:40" x14ac:dyDescent="0.2">
      <c r="AM110" s="32" t="s">
        <v>498</v>
      </c>
      <c r="AN110" s="32" t="s">
        <v>763</v>
      </c>
    </row>
    <row r="111" spans="38:40" x14ac:dyDescent="0.2">
      <c r="AM111" s="32" t="s">
        <v>499</v>
      </c>
      <c r="AN111" s="32" t="s">
        <v>764</v>
      </c>
    </row>
    <row r="112" spans="38:40" x14ac:dyDescent="0.2">
      <c r="AM112" s="32" t="s">
        <v>500</v>
      </c>
      <c r="AN112" s="32" t="s">
        <v>765</v>
      </c>
    </row>
    <row r="113" spans="39:40" x14ac:dyDescent="0.2">
      <c r="AM113" s="32" t="s">
        <v>501</v>
      </c>
      <c r="AN113" s="32" t="s">
        <v>766</v>
      </c>
    </row>
    <row r="114" spans="39:40" x14ac:dyDescent="0.2">
      <c r="AM114" s="32" t="s">
        <v>502</v>
      </c>
      <c r="AN114" s="32" t="s">
        <v>767</v>
      </c>
    </row>
    <row r="115" spans="39:40" x14ac:dyDescent="0.2">
      <c r="AM115" s="32" t="s">
        <v>503</v>
      </c>
      <c r="AN115" s="32" t="s">
        <v>768</v>
      </c>
    </row>
    <row r="116" spans="39:40" x14ac:dyDescent="0.2">
      <c r="AM116" s="32" t="s">
        <v>504</v>
      </c>
      <c r="AN116" s="32" t="s">
        <v>769</v>
      </c>
    </row>
    <row r="117" spans="39:40" x14ac:dyDescent="0.2">
      <c r="AM117" s="32" t="s">
        <v>505</v>
      </c>
      <c r="AN117" s="32" t="s">
        <v>770</v>
      </c>
    </row>
    <row r="118" spans="39:40" x14ac:dyDescent="0.2">
      <c r="AM118" s="32" t="s">
        <v>506</v>
      </c>
      <c r="AN118" s="32" t="s">
        <v>771</v>
      </c>
    </row>
    <row r="119" spans="39:40" x14ac:dyDescent="0.2">
      <c r="AM119" s="32" t="s">
        <v>507</v>
      </c>
      <c r="AN119" s="32" t="s">
        <v>772</v>
      </c>
    </row>
    <row r="120" spans="39:40" x14ac:dyDescent="0.2">
      <c r="AM120" s="32" t="s">
        <v>508</v>
      </c>
      <c r="AN120" s="32" t="s">
        <v>773</v>
      </c>
    </row>
    <row r="121" spans="39:40" x14ac:dyDescent="0.2">
      <c r="AM121" s="32" t="s">
        <v>509</v>
      </c>
      <c r="AN121" s="32" t="s">
        <v>774</v>
      </c>
    </row>
    <row r="122" spans="39:40" x14ac:dyDescent="0.2">
      <c r="AM122" s="32" t="s">
        <v>510</v>
      </c>
      <c r="AN122" s="32" t="s">
        <v>775</v>
      </c>
    </row>
    <row r="123" spans="39:40" x14ac:dyDescent="0.2">
      <c r="AM123" s="32" t="s">
        <v>511</v>
      </c>
      <c r="AN123" s="32" t="s">
        <v>776</v>
      </c>
    </row>
    <row r="124" spans="39:40" x14ac:dyDescent="0.2">
      <c r="AM124" s="32" t="s">
        <v>512</v>
      </c>
      <c r="AN124" s="32" t="s">
        <v>777</v>
      </c>
    </row>
    <row r="125" spans="39:40" x14ac:dyDescent="0.2">
      <c r="AM125" s="32" t="s">
        <v>513</v>
      </c>
      <c r="AN125" s="32" t="s">
        <v>778</v>
      </c>
    </row>
    <row r="126" spans="39:40" x14ac:dyDescent="0.2">
      <c r="AM126" s="32" t="s">
        <v>514</v>
      </c>
      <c r="AN126" s="32" t="s">
        <v>779</v>
      </c>
    </row>
    <row r="127" spans="39:40" x14ac:dyDescent="0.2">
      <c r="AM127" s="32" t="s">
        <v>515</v>
      </c>
      <c r="AN127" s="32" t="s">
        <v>780</v>
      </c>
    </row>
    <row r="128" spans="39:40" x14ac:dyDescent="0.2">
      <c r="AM128" s="32" t="s">
        <v>516</v>
      </c>
      <c r="AN128" s="32" t="s">
        <v>781</v>
      </c>
    </row>
    <row r="129" spans="39:40" x14ac:dyDescent="0.2">
      <c r="AM129" s="32" t="s">
        <v>517</v>
      </c>
      <c r="AN129" s="32" t="s">
        <v>782</v>
      </c>
    </row>
    <row r="130" spans="39:40" x14ac:dyDescent="0.2">
      <c r="AM130" s="32" t="s">
        <v>518</v>
      </c>
      <c r="AN130" s="32" t="s">
        <v>783</v>
      </c>
    </row>
    <row r="131" spans="39:40" x14ac:dyDescent="0.2">
      <c r="AM131" s="32" t="s">
        <v>519</v>
      </c>
      <c r="AN131" s="32" t="s">
        <v>784</v>
      </c>
    </row>
    <row r="132" spans="39:40" x14ac:dyDescent="0.2">
      <c r="AM132" s="32" t="s">
        <v>520</v>
      </c>
      <c r="AN132" s="32" t="s">
        <v>785</v>
      </c>
    </row>
    <row r="133" spans="39:40" x14ac:dyDescent="0.2">
      <c r="AM133" s="32" t="s">
        <v>521</v>
      </c>
      <c r="AN133" s="32" t="s">
        <v>786</v>
      </c>
    </row>
    <row r="134" spans="39:40" x14ac:dyDescent="0.2">
      <c r="AM134" s="32" t="s">
        <v>522</v>
      </c>
      <c r="AN134" s="32" t="s">
        <v>787</v>
      </c>
    </row>
    <row r="135" spans="39:40" x14ac:dyDescent="0.2">
      <c r="AM135" s="32" t="s">
        <v>523</v>
      </c>
      <c r="AN135" s="32" t="s">
        <v>788</v>
      </c>
    </row>
    <row r="136" spans="39:40" x14ac:dyDescent="0.2">
      <c r="AM136" s="32" t="s">
        <v>524</v>
      </c>
      <c r="AN136" s="32" t="s">
        <v>789</v>
      </c>
    </row>
    <row r="137" spans="39:40" x14ac:dyDescent="0.2">
      <c r="AM137" s="32" t="s">
        <v>525</v>
      </c>
      <c r="AN137" s="32" t="s">
        <v>790</v>
      </c>
    </row>
    <row r="138" spans="39:40" x14ac:dyDescent="0.2">
      <c r="AM138" s="32" t="s">
        <v>526</v>
      </c>
      <c r="AN138" s="32" t="s">
        <v>791</v>
      </c>
    </row>
    <row r="139" spans="39:40" x14ac:dyDescent="0.2">
      <c r="AM139" s="32" t="s">
        <v>527</v>
      </c>
      <c r="AN139" s="32" t="s">
        <v>792</v>
      </c>
    </row>
    <row r="140" spans="39:40" x14ac:dyDescent="0.2">
      <c r="AM140" s="32" t="s">
        <v>528</v>
      </c>
      <c r="AN140" s="32" t="s">
        <v>793</v>
      </c>
    </row>
    <row r="141" spans="39:40" x14ac:dyDescent="0.2">
      <c r="AM141" s="32" t="s">
        <v>529</v>
      </c>
      <c r="AN141" s="32" t="s">
        <v>794</v>
      </c>
    </row>
    <row r="142" spans="39:40" x14ac:dyDescent="0.2">
      <c r="AM142" s="32" t="s">
        <v>530</v>
      </c>
      <c r="AN142" s="32" t="s">
        <v>795</v>
      </c>
    </row>
    <row r="143" spans="39:40" x14ac:dyDescent="0.2">
      <c r="AM143" s="32" t="s">
        <v>531</v>
      </c>
      <c r="AN143" s="32" t="s">
        <v>796</v>
      </c>
    </row>
    <row r="144" spans="39:40" x14ac:dyDescent="0.2">
      <c r="AM144" s="32" t="s">
        <v>532</v>
      </c>
      <c r="AN144" s="32" t="s">
        <v>797</v>
      </c>
    </row>
    <row r="145" spans="39:40" x14ac:dyDescent="0.2">
      <c r="AM145" s="32" t="s">
        <v>533</v>
      </c>
      <c r="AN145" s="32" t="s">
        <v>798</v>
      </c>
    </row>
    <row r="146" spans="39:40" x14ac:dyDescent="0.2">
      <c r="AM146" s="32" t="s">
        <v>534</v>
      </c>
      <c r="AN146" s="32" t="s">
        <v>799</v>
      </c>
    </row>
    <row r="147" spans="39:40" x14ac:dyDescent="0.2">
      <c r="AM147" s="32" t="s">
        <v>535</v>
      </c>
      <c r="AN147" s="32" t="s">
        <v>800</v>
      </c>
    </row>
    <row r="148" spans="39:40" x14ac:dyDescent="0.2">
      <c r="AM148" s="32" t="s">
        <v>536</v>
      </c>
      <c r="AN148" s="32" t="s">
        <v>801</v>
      </c>
    </row>
    <row r="149" spans="39:40" x14ac:dyDescent="0.2">
      <c r="AM149" s="32" t="s">
        <v>537</v>
      </c>
      <c r="AN149" s="32" t="s">
        <v>802</v>
      </c>
    </row>
    <row r="150" spans="39:40" x14ac:dyDescent="0.2">
      <c r="AM150" s="32" t="s">
        <v>538</v>
      </c>
      <c r="AN150" s="32" t="s">
        <v>803</v>
      </c>
    </row>
    <row r="151" spans="39:40" x14ac:dyDescent="0.2">
      <c r="AM151" s="32" t="s">
        <v>539</v>
      </c>
      <c r="AN151" s="32" t="s">
        <v>804</v>
      </c>
    </row>
    <row r="152" spans="39:40" x14ac:dyDescent="0.2">
      <c r="AM152" s="32" t="s">
        <v>540</v>
      </c>
      <c r="AN152" s="32" t="s">
        <v>805</v>
      </c>
    </row>
    <row r="153" spans="39:40" x14ac:dyDescent="0.2">
      <c r="AM153" s="32" t="s">
        <v>541</v>
      </c>
      <c r="AN153" s="32" t="s">
        <v>806</v>
      </c>
    </row>
    <row r="154" spans="39:40" x14ac:dyDescent="0.2">
      <c r="AM154" s="32" t="s">
        <v>542</v>
      </c>
      <c r="AN154" s="32" t="s">
        <v>807</v>
      </c>
    </row>
    <row r="155" spans="39:40" x14ac:dyDescent="0.2">
      <c r="AM155" s="32" t="s">
        <v>543</v>
      </c>
      <c r="AN155" s="32" t="s">
        <v>808</v>
      </c>
    </row>
    <row r="156" spans="39:40" x14ac:dyDescent="0.2">
      <c r="AM156" s="32" t="s">
        <v>544</v>
      </c>
      <c r="AN156" s="32" t="s">
        <v>809</v>
      </c>
    </row>
    <row r="157" spans="39:40" x14ac:dyDescent="0.2">
      <c r="AM157" s="32" t="s">
        <v>545</v>
      </c>
      <c r="AN157" s="32" t="s">
        <v>810</v>
      </c>
    </row>
    <row r="158" spans="39:40" x14ac:dyDescent="0.2">
      <c r="AM158" s="32" t="s">
        <v>546</v>
      </c>
      <c r="AN158" s="32" t="s">
        <v>811</v>
      </c>
    </row>
    <row r="159" spans="39:40" x14ac:dyDescent="0.2">
      <c r="AM159" s="32" t="s">
        <v>547</v>
      </c>
      <c r="AN159" s="32" t="s">
        <v>812</v>
      </c>
    </row>
    <row r="160" spans="39:40" x14ac:dyDescent="0.2">
      <c r="AM160" s="32" t="s">
        <v>548</v>
      </c>
      <c r="AN160" s="32" t="s">
        <v>813</v>
      </c>
    </row>
    <row r="161" spans="39:40" x14ac:dyDescent="0.2">
      <c r="AM161" s="32" t="s">
        <v>549</v>
      </c>
      <c r="AN161" s="32" t="s">
        <v>814</v>
      </c>
    </row>
    <row r="162" spans="39:40" x14ac:dyDescent="0.2">
      <c r="AM162" s="32" t="s">
        <v>550</v>
      </c>
      <c r="AN162" s="32" t="s">
        <v>815</v>
      </c>
    </row>
    <row r="163" spans="39:40" x14ac:dyDescent="0.2">
      <c r="AM163" s="32" t="s">
        <v>551</v>
      </c>
      <c r="AN163" s="32" t="s">
        <v>816</v>
      </c>
    </row>
    <row r="164" spans="39:40" x14ac:dyDescent="0.2">
      <c r="AM164" s="32" t="s">
        <v>552</v>
      </c>
      <c r="AN164" s="32" t="s">
        <v>817</v>
      </c>
    </row>
    <row r="165" spans="39:40" x14ac:dyDescent="0.2">
      <c r="AM165" s="32" t="s">
        <v>553</v>
      </c>
      <c r="AN165" s="32" t="s">
        <v>818</v>
      </c>
    </row>
    <row r="166" spans="39:40" x14ac:dyDescent="0.2">
      <c r="AM166" s="32" t="s">
        <v>554</v>
      </c>
      <c r="AN166" s="32" t="s">
        <v>819</v>
      </c>
    </row>
    <row r="167" spans="39:40" x14ac:dyDescent="0.2">
      <c r="AM167" s="32" t="s">
        <v>555</v>
      </c>
      <c r="AN167" s="32" t="s">
        <v>820</v>
      </c>
    </row>
    <row r="168" spans="39:40" x14ac:dyDescent="0.2">
      <c r="AM168" s="32" t="s">
        <v>556</v>
      </c>
      <c r="AN168" s="32" t="s">
        <v>821</v>
      </c>
    </row>
    <row r="169" spans="39:40" x14ac:dyDescent="0.2">
      <c r="AM169" s="32" t="s">
        <v>557</v>
      </c>
      <c r="AN169" s="32" t="s">
        <v>822</v>
      </c>
    </row>
    <row r="170" spans="39:40" x14ac:dyDescent="0.2">
      <c r="AM170" s="32" t="s">
        <v>558</v>
      </c>
      <c r="AN170" s="32" t="s">
        <v>823</v>
      </c>
    </row>
    <row r="171" spans="39:40" x14ac:dyDescent="0.2">
      <c r="AM171" s="32" t="s">
        <v>559</v>
      </c>
      <c r="AN171" s="32" t="s">
        <v>824</v>
      </c>
    </row>
    <row r="172" spans="39:40" x14ac:dyDescent="0.2">
      <c r="AM172" s="32" t="s">
        <v>560</v>
      </c>
      <c r="AN172" s="32" t="s">
        <v>825</v>
      </c>
    </row>
    <row r="173" spans="39:40" x14ac:dyDescent="0.2">
      <c r="AM173" s="32" t="s">
        <v>561</v>
      </c>
      <c r="AN173" s="32" t="s">
        <v>826</v>
      </c>
    </row>
    <row r="174" spans="39:40" x14ac:dyDescent="0.2">
      <c r="AM174" s="32" t="s">
        <v>562</v>
      </c>
      <c r="AN174" s="32" t="s">
        <v>827</v>
      </c>
    </row>
    <row r="175" spans="39:40" x14ac:dyDescent="0.2">
      <c r="AM175" s="32" t="s">
        <v>563</v>
      </c>
      <c r="AN175" s="32" t="s">
        <v>828</v>
      </c>
    </row>
    <row r="176" spans="39:40" x14ac:dyDescent="0.2">
      <c r="AM176" s="32" t="s">
        <v>564</v>
      </c>
      <c r="AN176" s="32" t="s">
        <v>829</v>
      </c>
    </row>
    <row r="177" spans="39:40" x14ac:dyDescent="0.2">
      <c r="AM177" s="32" t="s">
        <v>565</v>
      </c>
      <c r="AN177" s="32" t="s">
        <v>830</v>
      </c>
    </row>
    <row r="178" spans="39:40" x14ac:dyDescent="0.2">
      <c r="AM178" s="32" t="s">
        <v>566</v>
      </c>
      <c r="AN178" s="32" t="s">
        <v>831</v>
      </c>
    </row>
    <row r="179" spans="39:40" x14ac:dyDescent="0.2">
      <c r="AM179" s="32" t="s">
        <v>567</v>
      </c>
      <c r="AN179" s="32" t="s">
        <v>832</v>
      </c>
    </row>
    <row r="180" spans="39:40" x14ac:dyDescent="0.2">
      <c r="AM180" s="32" t="s">
        <v>568</v>
      </c>
      <c r="AN180" s="32" t="s">
        <v>833</v>
      </c>
    </row>
    <row r="181" spans="39:40" x14ac:dyDescent="0.2">
      <c r="AM181" s="32" t="s">
        <v>569</v>
      </c>
      <c r="AN181" s="32" t="s">
        <v>834</v>
      </c>
    </row>
    <row r="182" spans="39:40" x14ac:dyDescent="0.2">
      <c r="AM182" s="32" t="s">
        <v>570</v>
      </c>
      <c r="AN182" s="32" t="s">
        <v>835</v>
      </c>
    </row>
    <row r="183" spans="39:40" x14ac:dyDescent="0.2">
      <c r="AM183" s="32" t="s">
        <v>571</v>
      </c>
      <c r="AN183" s="32" t="s">
        <v>836</v>
      </c>
    </row>
    <row r="184" spans="39:40" x14ac:dyDescent="0.2">
      <c r="AM184" s="32" t="s">
        <v>572</v>
      </c>
    </row>
    <row r="185" spans="39:40" x14ac:dyDescent="0.2">
      <c r="AM185" s="32" t="s">
        <v>573</v>
      </c>
    </row>
    <row r="186" spans="39:40" x14ac:dyDescent="0.2">
      <c r="AM186" s="32" t="s">
        <v>574</v>
      </c>
    </row>
    <row r="187" spans="39:40" x14ac:dyDescent="0.2">
      <c r="AM187" s="32" t="s">
        <v>575</v>
      </c>
    </row>
    <row r="188" spans="39:40" x14ac:dyDescent="0.2">
      <c r="AM188" s="32" t="s">
        <v>576</v>
      </c>
    </row>
    <row r="189" spans="39:40" x14ac:dyDescent="0.2">
      <c r="AM189" s="32" t="s">
        <v>577</v>
      </c>
    </row>
    <row r="190" spans="39:40" x14ac:dyDescent="0.2">
      <c r="AM190" s="32" t="s">
        <v>578</v>
      </c>
    </row>
    <row r="191" spans="39:40" x14ac:dyDescent="0.2">
      <c r="AM191" s="32" t="s">
        <v>579</v>
      </c>
    </row>
    <row r="192" spans="39:40" x14ac:dyDescent="0.2">
      <c r="AM192" s="32" t="s">
        <v>580</v>
      </c>
    </row>
    <row r="193" spans="39:39" x14ac:dyDescent="0.2">
      <c r="AM193" s="32" t="s">
        <v>581</v>
      </c>
    </row>
    <row r="194" spans="39:39" x14ac:dyDescent="0.2">
      <c r="AM194" s="32" t="s">
        <v>582</v>
      </c>
    </row>
    <row r="195" spans="39:39" x14ac:dyDescent="0.2">
      <c r="AM195" s="32" t="s">
        <v>583</v>
      </c>
    </row>
    <row r="196" spans="39:39" x14ac:dyDescent="0.2">
      <c r="AM196" s="32" t="s">
        <v>584</v>
      </c>
    </row>
    <row r="197" spans="39:39" x14ac:dyDescent="0.2">
      <c r="AM197" s="32" t="s">
        <v>585</v>
      </c>
    </row>
    <row r="198" spans="39:39" x14ac:dyDescent="0.2">
      <c r="AM198" s="32" t="s">
        <v>586</v>
      </c>
    </row>
    <row r="199" spans="39:39" x14ac:dyDescent="0.2">
      <c r="AM199" s="32" t="s">
        <v>587</v>
      </c>
    </row>
    <row r="200" spans="39:39" x14ac:dyDescent="0.2">
      <c r="AM200" s="32" t="s">
        <v>588</v>
      </c>
    </row>
    <row r="201" spans="39:39" x14ac:dyDescent="0.2">
      <c r="AM201" s="32" t="s">
        <v>589</v>
      </c>
    </row>
    <row r="202" spans="39:39" x14ac:dyDescent="0.2">
      <c r="AM202" s="32" t="s">
        <v>590</v>
      </c>
    </row>
    <row r="203" spans="39:39" x14ac:dyDescent="0.2">
      <c r="AM203" s="32" t="s">
        <v>591</v>
      </c>
    </row>
    <row r="204" spans="39:39" x14ac:dyDescent="0.2">
      <c r="AM204" s="32" t="s">
        <v>592</v>
      </c>
    </row>
    <row r="205" spans="39:39" x14ac:dyDescent="0.2">
      <c r="AM205" s="32" t="s">
        <v>593</v>
      </c>
    </row>
    <row r="206" spans="39:39" x14ac:dyDescent="0.2">
      <c r="AM206" s="32" t="s">
        <v>594</v>
      </c>
    </row>
    <row r="207" spans="39:39" x14ac:dyDescent="0.2">
      <c r="AM207" s="32" t="s">
        <v>595</v>
      </c>
    </row>
    <row r="208" spans="39:39" x14ac:dyDescent="0.2">
      <c r="AM208" s="32" t="s">
        <v>596</v>
      </c>
    </row>
    <row r="209" spans="39:39" x14ac:dyDescent="0.2">
      <c r="AM209" s="32" t="s">
        <v>597</v>
      </c>
    </row>
    <row r="210" spans="39:39" x14ac:dyDescent="0.2">
      <c r="AM210" s="32" t="s">
        <v>598</v>
      </c>
    </row>
    <row r="211" spans="39:39" x14ac:dyDescent="0.2">
      <c r="AM211" s="32" t="s">
        <v>599</v>
      </c>
    </row>
    <row r="212" spans="39:39" x14ac:dyDescent="0.2">
      <c r="AM212" s="32" t="s">
        <v>600</v>
      </c>
    </row>
    <row r="213" spans="39:39" x14ac:dyDescent="0.2">
      <c r="AM213" s="32" t="s">
        <v>601</v>
      </c>
    </row>
    <row r="214" spans="39:39" x14ac:dyDescent="0.2">
      <c r="AM214" s="32" t="s">
        <v>602</v>
      </c>
    </row>
    <row r="215" spans="39:39" x14ac:dyDescent="0.2">
      <c r="AM215" s="32" t="s">
        <v>603</v>
      </c>
    </row>
    <row r="216" spans="39:39" x14ac:dyDescent="0.2">
      <c r="AM216" s="32" t="s">
        <v>604</v>
      </c>
    </row>
    <row r="217" spans="39:39" x14ac:dyDescent="0.2">
      <c r="AM217" s="32" t="s">
        <v>605</v>
      </c>
    </row>
    <row r="218" spans="39:39" x14ac:dyDescent="0.2">
      <c r="AM218" s="32" t="s">
        <v>606</v>
      </c>
    </row>
    <row r="219" spans="39:39" x14ac:dyDescent="0.2">
      <c r="AM219" s="32" t="s">
        <v>607</v>
      </c>
    </row>
    <row r="220" spans="39:39" x14ac:dyDescent="0.2">
      <c r="AM220" s="32" t="s">
        <v>608</v>
      </c>
    </row>
    <row r="221" spans="39:39" x14ac:dyDescent="0.2">
      <c r="AM221" s="32" t="s">
        <v>609</v>
      </c>
    </row>
    <row r="222" spans="39:39" x14ac:dyDescent="0.2">
      <c r="AM222" s="32" t="s">
        <v>610</v>
      </c>
    </row>
    <row r="223" spans="39:39" x14ac:dyDescent="0.2">
      <c r="AM223" s="32" t="s">
        <v>611</v>
      </c>
    </row>
    <row r="224" spans="39:39" x14ac:dyDescent="0.2">
      <c r="AM224" s="32" t="s">
        <v>612</v>
      </c>
    </row>
    <row r="225" spans="39:46" x14ac:dyDescent="0.2">
      <c r="AM225" s="32" t="s">
        <v>613</v>
      </c>
    </row>
    <row r="226" spans="39:46" x14ac:dyDescent="0.2">
      <c r="AM226" s="32" t="s">
        <v>614</v>
      </c>
      <c r="AQ226" s="32">
        <v>53</v>
      </c>
      <c r="AR226" s="32">
        <v>0</v>
      </c>
      <c r="AS226" s="32">
        <v>2.84</v>
      </c>
      <c r="AT226" s="32">
        <f>AQ226+(AR226/60)+(AS226/3600)</f>
        <v>53.000788888888891</v>
      </c>
    </row>
    <row r="227" spans="39:46" x14ac:dyDescent="0.2">
      <c r="AM227" s="32" t="s">
        <v>615</v>
      </c>
      <c r="AQ227" s="32">
        <v>52</v>
      </c>
      <c r="AR227" s="32">
        <v>26</v>
      </c>
      <c r="AS227" s="32">
        <v>29.49</v>
      </c>
      <c r="AT227" s="32">
        <f>AQ227+(AR227/60)+(AS227/3600)</f>
        <v>52.441524999999999</v>
      </c>
    </row>
    <row r="228" spans="39:46" x14ac:dyDescent="0.2">
      <c r="AM228" s="32" t="s">
        <v>616</v>
      </c>
    </row>
    <row r="229" spans="39:46" x14ac:dyDescent="0.2">
      <c r="AM229" s="32" t="s">
        <v>617</v>
      </c>
    </row>
    <row r="230" spans="39:46" x14ac:dyDescent="0.2">
      <c r="AM230" s="32" t="s">
        <v>618</v>
      </c>
    </row>
    <row r="231" spans="39:46" x14ac:dyDescent="0.2">
      <c r="AM231" s="32" t="s">
        <v>619</v>
      </c>
    </row>
    <row r="232" spans="39:46" x14ac:dyDescent="0.2">
      <c r="AM232" s="32" t="s">
        <v>620</v>
      </c>
    </row>
    <row r="233" spans="39:46" x14ac:dyDescent="0.2">
      <c r="AM233" s="32" t="s">
        <v>621</v>
      </c>
    </row>
    <row r="234" spans="39:46" x14ac:dyDescent="0.2">
      <c r="AM234" s="32" t="s">
        <v>622</v>
      </c>
    </row>
    <row r="235" spans="39:46" x14ac:dyDescent="0.2">
      <c r="AM235" s="32" t="s">
        <v>623</v>
      </c>
    </row>
    <row r="236" spans="39:46" x14ac:dyDescent="0.2">
      <c r="AM236" s="32" t="s">
        <v>624</v>
      </c>
    </row>
    <row r="237" spans="39:46" x14ac:dyDescent="0.2">
      <c r="AM237" s="32" t="s">
        <v>625</v>
      </c>
    </row>
    <row r="238" spans="39:46" x14ac:dyDescent="0.2">
      <c r="AM238" s="32" t="s">
        <v>626</v>
      </c>
    </row>
    <row r="239" spans="39:46" x14ac:dyDescent="0.2">
      <c r="AM239" s="32" t="s">
        <v>627</v>
      </c>
    </row>
    <row r="240" spans="39:46" x14ac:dyDescent="0.2">
      <c r="AM240" s="32" t="s">
        <v>628</v>
      </c>
    </row>
    <row r="241" spans="39:39" x14ac:dyDescent="0.2">
      <c r="AM241" s="32" t="s">
        <v>629</v>
      </c>
    </row>
    <row r="242" spans="39:39" x14ac:dyDescent="0.2">
      <c r="AM242" s="32" t="s">
        <v>630</v>
      </c>
    </row>
    <row r="243" spans="39:39" x14ac:dyDescent="0.2">
      <c r="AM243" s="32" t="s">
        <v>631</v>
      </c>
    </row>
    <row r="244" spans="39:39" x14ac:dyDescent="0.2">
      <c r="AM244" s="32" t="s">
        <v>632</v>
      </c>
    </row>
    <row r="245" spans="39:39" x14ac:dyDescent="0.2">
      <c r="AM245" s="32" t="s">
        <v>633</v>
      </c>
    </row>
    <row r="246" spans="39:39" x14ac:dyDescent="0.2">
      <c r="AM246" s="32" t="s">
        <v>634</v>
      </c>
    </row>
    <row r="247" spans="39:39" x14ac:dyDescent="0.2">
      <c r="AM247" s="32" t="s">
        <v>635</v>
      </c>
    </row>
    <row r="248" spans="39:39" x14ac:dyDescent="0.2">
      <c r="AM248" s="32" t="s">
        <v>636</v>
      </c>
    </row>
    <row r="249" spans="39:39" x14ac:dyDescent="0.2">
      <c r="AM249" s="32" t="s">
        <v>637</v>
      </c>
    </row>
    <row r="250" spans="39:39" x14ac:dyDescent="0.2">
      <c r="AM250" s="32" t="s">
        <v>638</v>
      </c>
    </row>
    <row r="251" spans="39:39" x14ac:dyDescent="0.2">
      <c r="AM251" s="32" t="s">
        <v>639</v>
      </c>
    </row>
    <row r="252" spans="39:39" x14ac:dyDescent="0.2">
      <c r="AM252" s="32" t="s">
        <v>640</v>
      </c>
    </row>
    <row r="253" spans="39:39" x14ac:dyDescent="0.2">
      <c r="AM253" s="32" t="s">
        <v>641</v>
      </c>
    </row>
    <row r="254" spans="39:39" x14ac:dyDescent="0.2">
      <c r="AM254" s="32" t="s">
        <v>642</v>
      </c>
    </row>
    <row r="255" spans="39:39" x14ac:dyDescent="0.2">
      <c r="AM255" s="32" t="s">
        <v>643</v>
      </c>
    </row>
    <row r="256" spans="39:39" x14ac:dyDescent="0.2">
      <c r="AM256" s="32" t="s">
        <v>644</v>
      </c>
    </row>
    <row r="257" spans="39:39" x14ac:dyDescent="0.2">
      <c r="AM257" s="32" t="s">
        <v>645</v>
      </c>
    </row>
    <row r="258" spans="39:39" x14ac:dyDescent="0.2">
      <c r="AM258" s="32" t="s">
        <v>646</v>
      </c>
    </row>
    <row r="259" spans="39:39" x14ac:dyDescent="0.2">
      <c r="AM259" s="32" t="s">
        <v>647</v>
      </c>
    </row>
    <row r="260" spans="39:39" x14ac:dyDescent="0.2">
      <c r="AM260" s="32" t="s">
        <v>648</v>
      </c>
    </row>
    <row r="261" spans="39:39" x14ac:dyDescent="0.2">
      <c r="AM261" s="32" t="s">
        <v>649</v>
      </c>
    </row>
    <row r="262" spans="39:39" x14ac:dyDescent="0.2">
      <c r="AM262" s="32" t="s">
        <v>650</v>
      </c>
    </row>
    <row r="263" spans="39:39" x14ac:dyDescent="0.2">
      <c r="AM263" s="32" t="s">
        <v>651</v>
      </c>
    </row>
    <row r="264" spans="39:39" x14ac:dyDescent="0.2">
      <c r="AM264" s="32" t="s">
        <v>652</v>
      </c>
    </row>
    <row r="265" spans="39:39" x14ac:dyDescent="0.2">
      <c r="AM265" s="32" t="s">
        <v>653</v>
      </c>
    </row>
    <row r="266" spans="39:39" x14ac:dyDescent="0.2">
      <c r="AM266" s="32" t="s">
        <v>654</v>
      </c>
    </row>
    <row r="267" spans="39:39" x14ac:dyDescent="0.2">
      <c r="AM267" s="32" t="s">
        <v>655</v>
      </c>
    </row>
  </sheetData>
  <dataConsolidate/>
  <dataValidations count="46">
    <dataValidation allowBlank="1" showInputMessage="1" showErrorMessage="1" prompt="[Interval method]: Fourier's Law or Product or Interval method - product of the mean thermal gradient to the mean thermal  conductivity with reference to a specified depth interval." sqref="Q3" xr:uid="{00000000-0002-0000-0200-000000000000}"/>
    <dataValidation allowBlank="1" showInputMessage="1" showErrorMessage="1" prompt="Bullard plot]: heat-flow_x000a_[Bullard plot]: heat-flow value given as the angular coefficient of the linear regression of the thermal resistance vs. temperature data." sqref="Q4" xr:uid="{00000000-0002-0000-0200-000001000000}"/>
    <dataValidation allowBlank="1" showInputMessage="1" showErrorMessage="1" prompt="[Bootstrapping]:_x000a_iterative procedure aimed_x000a_[Bootstrapping]: iterative procedure aimed at minimize the difference  between the measured and modelled temperatures by solving the 1-D steady-state conductive geotherm." sqref="Q5" xr:uid="{00000000-0002-0000-0200-000002000000}"/>
    <dataValidation allowBlank="1" showInputMessage="1" showErrorMessage="1" prompt="[Other numerical computations] e.g. numerical inversion or similar approaches " sqref="Q6" xr:uid="{00000000-0002-0000-0200-000003000000}"/>
    <dataValidation allowBlank="1" showInputMessage="1" showErrorMessage="1" prompt="[LOGeq]: continuous temperature logging in borehole equilibrium using semiconductor transducer, or thermistor probe" sqref="AS3:AT3" xr:uid="{00000000-0002-0000-0200-000004000000}"/>
    <dataValidation allowBlank="1" showInputMessage="1" showErrorMessage="1" prompt="[LOGpert]: continuous temperature logging perturbed not n equilibrium using semiconductor transducer, or thermistor probe," sqref="AS4:AT4" xr:uid="{00000000-0002-0000-0200-000005000000}"/>
    <dataValidation allowBlank="1" showInputMessage="1" showErrorMessage="1" prompt="[cLOG]: corrected temperature log" sqref="AS5:AT5" xr:uid="{00000000-0002-0000-0200-000006000000}"/>
    <dataValidation allowBlank="1" showInputMessage="1" showErrorMessage="1" prompt="[DTSeq]: distributed temperature sensing in borehole equilibrium" sqref="AS6:AT6" xr:uid="{00000000-0002-0000-0200-000007000000}"/>
    <dataValidation allowBlank="1" showInputMessage="1" showErrorMessage="1" prompt="[DTSpert]: distributed temperature sensing perturbed not in equilibrium" sqref="AS7:AT7" xr:uid="{00000000-0002-0000-0200-000008000000}"/>
    <dataValidation allowBlank="1" showInputMessage="1" showErrorMessage="1" prompt="[cDTS]: distributed temperature sensing corrected for effects" sqref="AS8:AT8" xr:uid="{00000000-0002-0000-0200-000009000000}"/>
    <dataValidation allowBlank="1" showInputMessage="1" showErrorMessage="1" prompt="[BHT]: bottom hole temperature--uncorrected" sqref="AS9:AT9" xr:uid="{00000000-0002-0000-0200-00000A000000}"/>
    <dataValidation allowBlank="1" showInputMessage="1" showErrorMessage="1" prompt="[cBHT]: corrected bottom hole temperature" sqref="AS10:AT10" xr:uid="{00000000-0002-0000-0200-00000B000000}"/>
    <dataValidation allowBlank="1" showInputMessage="1" showErrorMessage="1" prompt="[HT-FT] Hydraulic Test Formation temperature. e.g. Drill Stem test, Aquifer temperature  " sqref="AS11:AT11" xr:uid="{00000000-0002-0000-0200-00000C000000}"/>
    <dataValidation allowBlank="1" showInputMessage="1" showErrorMessage="1" prompt="[cHT-FT] Hydraulic Test Formation temperature corrected for effects" sqref="AS12:AT12" xr:uid="{00000000-0002-0000-0200-00000D000000}"/>
    <dataValidation allowBlank="1" showInputMessage="1" showErrorMessage="1" prompt="[RTDeq]: resistance temperature detectors in borehole equilibrium using thermistor probe" sqref="AS13:AT13" xr:uid="{00000000-0002-0000-0200-00000E000000}"/>
    <dataValidation allowBlank="1" showInputMessage="1" showErrorMessage="1" prompt="[RTDpert]: resistance temperature detectors in borehole not in equilibrium using thermistor probe" sqref="AS14:AT14" xr:uid="{00000000-0002-0000-0200-00000F000000}"/>
    <dataValidation allowBlank="1" showInputMessage="1" showErrorMessage="1" prompt="[cRTD]: resistance temperature detectors corrected for effects" sqref="AS15:AT15" xr:uid="{00000000-0002-0000-0200-000010000000}"/>
    <dataValidation allowBlank="1" showInputMessage="1" showErrorMessage="1" prompt="[CPD]: Curie Point/Depth estimate" sqref="AS16:AT16" xr:uid="{00000000-0002-0000-0200-000011000000}"/>
    <dataValidation allowBlank="1" showInputMessage="1" showErrorMessage="1" prompt="[XEN]: Xenolith" sqref="AS17:AT17" xr:uid="{00000000-0002-0000-0200-000012000000}"/>
    <dataValidation allowBlank="1" showInputMessage="1" showErrorMessage="1" prompt="[GTM]: Geothermometry" sqref="AS18:AT18" xr:uid="{00000000-0002-0000-0200-000013000000}"/>
    <dataValidation allowBlank="1" showInputMessage="1" showErrorMessage="1" prompt="[SUR] surface temperature/bottom water temperature" sqref="AS25" xr:uid="{00000000-0002-0000-0200-000014000000}"/>
    <dataValidation allowBlank="1" showInputMessage="1" showErrorMessage="1" prompt="For 'other' shortly describe the method in the child comment field." sqref="BC11:BD11 BE8:BF8 BH42" xr:uid="{00000000-0002-0000-0200-000015000000}"/>
    <dataValidation allowBlank="1" showInputMessage="1" showErrorMessage="1" prompt="literature/unspecified] only if {tc_source} = [Assumed from_x000a_literature]" sqref="BD5" xr:uid="{00000000-0002-0000-0200-000016000000}"/>
    <dataValidation allowBlank="1" showInputMessage="1" showErrorMessage="1" prompt="Examples for lab devices: [Lab - point source] e.g. optical scanning TCS (thermal conductivity scanner)" sqref="BE3" xr:uid="{00000000-0002-0000-0200-000017000000}"/>
    <dataValidation allowBlank="1" showInputMessage="1" showErrorMessage="1" prompt="Lab - line source / full space] e.g. needle probe" sqref="BE4" xr:uid="{00000000-0002-0000-0200-000018000000}"/>
    <dataValidation allowBlank="1" showInputMessage="1" showErrorMessage="1" prompt="[Lab - line source / half space] e.g. TK04" sqref="BE5" xr:uid="{00000000-0002-0000-0200-000019000000}"/>
    <dataValidation allowBlank="1" showInputMessage="1" showErrorMessage="1" prompt="[Lab - plane source / full space] e.g. hotdisc TPS, comparator_x000a_apparatus, divided bar" sqref="BE6" xr:uid="{00000000-0002-0000-0200-00001A000000}"/>
    <dataValidation allowBlank="1" showInputMessage="1" showErrorMessage="1" prompt="[Lab - plane source / half space] e.g. modified TPS;" sqref="BE7" xr:uid="{00000000-0002-0000-0200-00001B000000}"/>
    <dataValidation allowBlank="1" showInputMessage="1" showErrorMessage="1" prompt="[Saturated measured insitu]: Insitu_x000a_saturated measured (measurements_x000a_with probe sensing / marine_x000a_measurements);" sqref="BF3" xr:uid="{00000000-0002-0000-0200-00001C000000}"/>
    <dataValidation allowBlank="1" showInputMessage="1" showErrorMessage="1" prompt="[Recovered]: As recovered (rocks have been preserved_x000a_and measured in close to their natural saturation state);" sqref="BF4" xr:uid="{00000000-0002-0000-0200-00001D000000}"/>
    <dataValidation allowBlank="1" showInputMessage="1" showErrorMessage="1" prompt="[Saturated_x000a_measured]: Saturated measured_x000a_(rocks have been technically saturated_x000a_completely before measurement);" sqref="BF5" xr:uid="{00000000-0002-0000-0200-00001E000000}"/>
    <dataValidation allowBlank="1" showInputMessage="1" showErrorMessage="1" prompt="[Saturated calculated]: Saturated calculated (thermal conductivity has been calculated from dry measured_x000a_rocks, porosity and pore-filling fluid);" sqref="BF6" xr:uid="{00000000-0002-0000-0200-00001F000000}"/>
    <dataValidation allowBlank="1" showInputMessage="1" showErrorMessage="1" prompt="[Dry measured]: Dry measured - rocks have been technically dried before measurement" sqref="BF7" xr:uid="{00000000-0002-0000-0200-000020000000}"/>
    <dataValidation allowBlank="1" showInputMessage="1" showErrorMessage="1" prompt="'Recorded’ means determinations under true conditions at target depths (e.g. sensing in boreholes)." sqref="BG4" xr:uid="{00000000-0002-0000-0200-000021000000}"/>
    <dataValidation allowBlank="1" showInputMessage="1" showErrorMessage="1" prompt="‘Replicated conditions’ means determinations where the conditions at target depths are replicated under_x000a_laboratory conditions." sqref="BG6:BG8" xr:uid="{00000000-0002-0000-0200-000022000000}"/>
    <dataValidation allowBlank="1" showInputMessage="1" showErrorMessage="1" prompt="‘Corrected conditions’ means determinations under laboratory pT conditions that were corrected to conditions at target_x000a_depths." sqref="BG9:BG11" xr:uid="{00000000-0002-0000-0200-000023000000}"/>
    <dataValidation allowBlank="1" showInputMessage="1" showErrorMessage="1" prompt="‘Actual’ means the condition at the respective depth of the heatflow interval." sqref="BG5" xr:uid="{00000000-0002-0000-0200-000024000000}"/>
    <dataValidation allowBlank="1" showInputMessage="1" showErrorMessage="1" prompt="[ODTTPC]: Ocean Drilling Temperature Tool - piston corer" sqref="AS21:AT21" xr:uid="{00000000-0002-0000-0200-000025000000}"/>
    <dataValidation allowBlank="1" showInputMessage="1" showErrorMessage="1" prompt="[ODTT-TP]: Ocean Drilling Temperature Tool - thermistor probe" sqref="AS22:AT22" xr:uid="{00000000-0002-0000-0200-000026000000}"/>
    <dataValidation allowBlank="1" showInputMessage="1" showErrorMessage="1" prompt="[BLK]: thermal blanket" sqref="AS20:AT20" xr:uid="{00000000-0002-0000-0200-000027000000}"/>
    <dataValidation allowBlank="1" showInputMessage="1" showErrorMessage="1" prompt="[BSR]: bottom simulating reflector" sqref="AS19:AT19" xr:uid="{00000000-0002-0000-0200-000028000000}"/>
    <dataValidation allowBlank="1" showInputMessage="1" showErrorMessage="1" prompt="[Indirect (GTM, CPD, etc.)] Indirect methods" sqref="M10" xr:uid="{00000000-0002-0000-0200-000029000000}"/>
    <dataValidation allowBlank="1" showInputMessage="1" showErrorMessage="1" prompt="[EGRT]: [Enhanced Geothermal response test]" sqref="AS24:AT24" xr:uid="{00000000-0002-0000-0200-00002A000000}"/>
    <dataValidation allowBlank="1" showInputMessage="1" showErrorMessage="1" prompt="[GRT]: [Geothermal response test]" sqref="AS23:AT23" xr:uid="{00000000-0002-0000-0200-00002B000000}"/>
    <dataValidation allowBlank="1" showInputMessage="1" showErrorMessage="1" prompt="If you select ‘Other published correction’, add the author/doi to the child comment field." sqref="AW7:AX8" xr:uid="{00000000-0002-0000-0200-00002C000000}"/>
    <dataValidation allowBlank="1" showInputMessage="1" showErrorMessage="1" prompt="-" sqref="AO2:AR2" xr:uid="{00000000-0002-0000-0200-00002D000000}"/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data list</vt:lpstr>
      <vt:lpstr>controlled vocabulary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</dc:creator>
  <cp:lastModifiedBy>Viktoria Dergunova</cp:lastModifiedBy>
  <dcterms:created xsi:type="dcterms:W3CDTF">2022-11-17T14:13:25Z</dcterms:created>
  <dcterms:modified xsi:type="dcterms:W3CDTF">2025-12-01T09:25:56Z</dcterms:modified>
</cp:coreProperties>
</file>